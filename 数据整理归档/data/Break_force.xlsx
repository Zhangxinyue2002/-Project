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E:\工作\菠萝叶本身制取\"/>
    </mc:Choice>
  </mc:AlternateContent>
  <xr:revisionPtr revIDLastSave="0" documentId="13_ncr:1_{7F1E263D-98D0-45D8-A328-D3FD8D69A996}" xr6:coauthVersionLast="47" xr6:coauthVersionMax="47" xr10:uidLastSave="{00000000-0000-0000-0000-000000000000}"/>
  <bookViews>
    <workbookView xWindow="-108" yWindow="-108" windowWidth="24792" windowHeight="13320" xr2:uid="{1F245FD4-B1AE-470F-9C61-BCDD5B636AA5}"/>
  </bookViews>
  <sheets>
    <sheet name="Break forc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" i="1" l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</calcChain>
</file>

<file path=xl/sharedStrings.xml><?xml version="1.0" encoding="utf-8"?>
<sst xmlns="http://schemas.openxmlformats.org/spreadsheetml/2006/main" count="89" uniqueCount="89">
  <si>
    <t>SR4-5</t>
  </si>
  <si>
    <t>SR4-4</t>
  </si>
  <si>
    <t>SR4-3</t>
  </si>
  <si>
    <t>SR4-2</t>
  </si>
  <si>
    <t>SR4-1</t>
  </si>
  <si>
    <t>SS4-5</t>
  </si>
  <si>
    <t>SS4-4</t>
  </si>
  <si>
    <t>SS4-3</t>
  </si>
  <si>
    <t>SS4-2</t>
  </si>
  <si>
    <t>SS4-1</t>
  </si>
  <si>
    <t>LD4-5</t>
  </si>
  <si>
    <t>LD4-4</t>
  </si>
  <si>
    <t>LD4-3</t>
  </si>
  <si>
    <t>LD4-2</t>
  </si>
  <si>
    <t>LD4-1</t>
  </si>
  <si>
    <t>LB4-5</t>
  </si>
  <si>
    <t>LB4-4</t>
  </si>
  <si>
    <t>LB4-3</t>
  </si>
  <si>
    <t>LB4-2</t>
  </si>
  <si>
    <t>LB4-1</t>
  </si>
  <si>
    <t>SR3-5</t>
  </si>
  <si>
    <t>SR3-4</t>
  </si>
  <si>
    <t>SR3-3</t>
  </si>
  <si>
    <t>SR3-2</t>
  </si>
  <si>
    <t>SR3-1</t>
  </si>
  <si>
    <t>SS3-5</t>
  </si>
  <si>
    <t>SS3-4</t>
  </si>
  <si>
    <t>SS3-3</t>
  </si>
  <si>
    <t>SS3-2</t>
  </si>
  <si>
    <t>SS3-1</t>
  </si>
  <si>
    <t>LD3-5</t>
  </si>
  <si>
    <t>LD3-4</t>
  </si>
  <si>
    <t>LD3-3</t>
  </si>
  <si>
    <t>LD3-2</t>
  </si>
  <si>
    <t>LD3-1</t>
  </si>
  <si>
    <t>LB3-5</t>
  </si>
  <si>
    <t>LB3-4</t>
  </si>
  <si>
    <t>LB3-3</t>
  </si>
  <si>
    <t>LB3-2</t>
  </si>
  <si>
    <t>LB3-1</t>
  </si>
  <si>
    <t>SR 2-5</t>
  </si>
  <si>
    <t>SR 2-4</t>
  </si>
  <si>
    <t>SR 2-3</t>
  </si>
  <si>
    <t>SR 2-2</t>
  </si>
  <si>
    <t>SR 2-1</t>
  </si>
  <si>
    <t>SS2-5</t>
  </si>
  <si>
    <t>SS2-4</t>
  </si>
  <si>
    <t>SS2-3</t>
  </si>
  <si>
    <t>SS2-2</t>
  </si>
  <si>
    <t>SS2-1</t>
  </si>
  <si>
    <t>LD2-5</t>
  </si>
  <si>
    <t>LD2-4</t>
  </si>
  <si>
    <t>LD2-3</t>
  </si>
  <si>
    <t>LD2-2</t>
  </si>
  <si>
    <t>LD2-1</t>
  </si>
  <si>
    <t>LB2-5</t>
  </si>
  <si>
    <t>LB2-4</t>
  </si>
  <si>
    <t>LB2-3</t>
  </si>
  <si>
    <t>LB2-2</t>
  </si>
  <si>
    <t>LB2-1</t>
  </si>
  <si>
    <t>SR1-5</t>
  </si>
  <si>
    <t>SR1-4</t>
  </si>
  <si>
    <t>SR1-3</t>
  </si>
  <si>
    <t>SR1-2</t>
  </si>
  <si>
    <t>SR1-1</t>
  </si>
  <si>
    <t>SS1-5</t>
  </si>
  <si>
    <t>SS1-4</t>
  </si>
  <si>
    <t>SS1-3</t>
  </si>
  <si>
    <t>SS1-2</t>
  </si>
  <si>
    <t>SS1-1</t>
  </si>
  <si>
    <t>LD1-5</t>
  </si>
  <si>
    <t>LD1-4</t>
  </si>
  <si>
    <t>LD1-3</t>
  </si>
  <si>
    <t>LD1-2</t>
  </si>
  <si>
    <t>LD1-1</t>
  </si>
  <si>
    <t>LB1-5</t>
  </si>
  <si>
    <t>LB1-4</t>
  </si>
  <si>
    <t>LB1-3</t>
  </si>
  <si>
    <t>LB1-2</t>
  </si>
  <si>
    <t>LB1-1</t>
  </si>
  <si>
    <t>SR0</t>
  </si>
  <si>
    <t>SS0</t>
  </si>
  <si>
    <t>LD0</t>
  </si>
  <si>
    <t>LB0</t>
  </si>
  <si>
    <t>兆帕 cN/dtex</t>
  </si>
  <si>
    <t>Average</t>
  </si>
  <si>
    <t>Sample 3</t>
  </si>
  <si>
    <t>Sample 2</t>
  </si>
  <si>
    <t>Sample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</si>
</sst>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17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6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</borders>
  <cellStyleXfs count="1">
    <xf numFmtId="0" fontId="0" fillId="0" borderId="0">
      <alignment vertical="center"/>
    </xf>
  </cellStyleXfs>
  <cellXfs count="31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3" borderId="1" xfId="0" applyFill="1" applyBorder="1">
      <alignment vertical="center"/>
    </xf>
    <xf numFmtId="0" fontId="0" fillId="2" borderId="1" xfId="0" applyFill="1" applyBorder="1">
      <alignment vertical="center"/>
    </xf>
    <xf numFmtId="0" fontId="0" fillId="4" borderId="0" xfId="0" applyFill="1">
      <alignment vertical="center"/>
    </xf>
    <xf numFmtId="0" fontId="0" fillId="4" borderId="1" xfId="0" applyFill="1" applyBorder="1">
      <alignment vertical="center"/>
    </xf>
    <xf numFmtId="0" fontId="0" fillId="5" borderId="0" xfId="0" applyFill="1">
      <alignment vertical="center"/>
    </xf>
    <xf numFmtId="0" fontId="0" fillId="5" borderId="1" xfId="0" applyFill="1" applyBorder="1">
      <alignment vertical="center"/>
    </xf>
    <xf numFmtId="0" fontId="0" fillId="6" borderId="0" xfId="0" applyFill="1">
      <alignment vertical="center"/>
    </xf>
    <xf numFmtId="0" fontId="0" fillId="6" borderId="1" xfId="0" applyFill="1" applyBorder="1">
      <alignment vertical="center"/>
    </xf>
    <xf numFmtId="0" fontId="0" fillId="7" borderId="0" xfId="0" applyFill="1">
      <alignment vertical="center"/>
    </xf>
    <xf numFmtId="0" fontId="0" fillId="7" borderId="1" xfId="0" applyFill="1" applyBorder="1">
      <alignment vertical="center"/>
    </xf>
    <xf numFmtId="0" fontId="0" fillId="8" borderId="0" xfId="0" applyFill="1">
      <alignment vertical="center"/>
    </xf>
    <xf numFmtId="0" fontId="0" fillId="8" borderId="1" xfId="0" applyFill="1" applyBorder="1">
      <alignment vertical="center"/>
    </xf>
    <xf numFmtId="0" fontId="0" fillId="9" borderId="0" xfId="0" applyFill="1">
      <alignment vertical="center"/>
    </xf>
    <xf numFmtId="0" fontId="0" fillId="9" borderId="1" xfId="0" applyFill="1" applyBorder="1">
      <alignment vertical="center"/>
    </xf>
    <xf numFmtId="0" fontId="0" fillId="10" borderId="0" xfId="0" applyFill="1">
      <alignment vertical="center"/>
    </xf>
    <xf numFmtId="0" fontId="0" fillId="10" borderId="1" xfId="0" applyFill="1" applyBorder="1">
      <alignment vertical="center"/>
    </xf>
    <xf numFmtId="0" fontId="0" fillId="11" borderId="0" xfId="0" applyFill="1">
      <alignment vertical="center"/>
    </xf>
    <xf numFmtId="0" fontId="0" fillId="11" borderId="1" xfId="0" applyFill="1" applyBorder="1">
      <alignment vertical="center"/>
    </xf>
    <xf numFmtId="0" fontId="0" fillId="12" borderId="0" xfId="0" applyFill="1">
      <alignment vertical="center"/>
    </xf>
    <xf numFmtId="0" fontId="0" fillId="12" borderId="1" xfId="0" applyFill="1" applyBorder="1">
      <alignment vertical="center"/>
    </xf>
    <xf numFmtId="0" fontId="0" fillId="13" borderId="0" xfId="0" applyFill="1">
      <alignment vertical="center"/>
    </xf>
    <xf numFmtId="0" fontId="0" fillId="13" borderId="1" xfId="0" applyFill="1" applyBorder="1">
      <alignment vertical="center"/>
    </xf>
    <xf numFmtId="0" fontId="0" fillId="14" borderId="0" xfId="0" applyFill="1">
      <alignment vertical="center"/>
    </xf>
    <xf numFmtId="0" fontId="0" fillId="14" borderId="1" xfId="0" applyFill="1" applyBorder="1">
      <alignment vertical="center"/>
    </xf>
    <xf numFmtId="0" fontId="0" fillId="15" borderId="0" xfId="0" applyFill="1">
      <alignment vertical="center"/>
    </xf>
    <xf numFmtId="0" fontId="0" fillId="15" borderId="1" xfId="0" applyFill="1" applyBorder="1">
      <alignment vertical="center"/>
    </xf>
    <xf numFmtId="0" fontId="0" fillId="16" borderId="0" xfId="0" applyFill="1">
      <alignment vertical="center"/>
    </xf>
    <xf numFmtId="0" fontId="0" fillId="16" borderId="1" xfId="0" applyFill="1" applyBorder="1">
      <alignment vertical="center"/>
    </xf>
    <xf numFmtId="0" fontId="0" fillId="0" borderId="1" xfId="0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4201A7-0B47-428D-AF12-3DF74C07C29F}">
  <dimension ref="A1:G85"/>
  <sheetViews>
    <sheetView tabSelected="1" zoomScale="109" zoomScaleNormal="109" workbookViewId="0">
      <selection sqref="A1:XFD2"/>
    </sheetView>
  </sheetViews>
  <sheetFormatPr defaultColWidth="9.21875" defaultRowHeight="14.4" x14ac:dyDescent="0.25"/>
  <sheetData>
    <row r="1" spans="1:7" x14ac:dyDescent="0.25">
      <c r="A1" s="30"/>
      <c r="B1" s="30" t="s">
        <v>88</v>
      </c>
      <c r="C1" s="30" t="s">
        <v>87</v>
      </c>
      <c r="D1" s="30" t="s">
        <v>86</v>
      </c>
      <c r="E1" s="30"/>
      <c r="F1" s="30" t="s">
        <v>85</v>
      </c>
      <c r="G1" t="s">
        <v>84</v>
      </c>
    </row>
    <row r="2" spans="1:7" s="28" customFormat="1" x14ac:dyDescent="0.25">
      <c r="A2" s="29" t="s">
        <v>83</v>
      </c>
      <c r="B2" s="29">
        <v>78.632499999999993</v>
      </c>
      <c r="C2" s="29">
        <v>77.567800000000005</v>
      </c>
      <c r="D2" s="29">
        <v>83.935599999999994</v>
      </c>
      <c r="E2" s="29"/>
      <c r="F2" s="2">
        <f>AVERAGE(B2:D2)</f>
        <v>80.045299999999997</v>
      </c>
    </row>
    <row r="3" spans="1:7" s="28" customFormat="1" x14ac:dyDescent="0.25">
      <c r="A3" s="29" t="s">
        <v>82</v>
      </c>
      <c r="B3" s="29">
        <v>81.756299999999996</v>
      </c>
      <c r="C3" s="29">
        <v>76.035899999999998</v>
      </c>
      <c r="D3" s="29">
        <v>73.048299999999998</v>
      </c>
      <c r="E3" s="29"/>
      <c r="F3" s="2">
        <f>AVERAGE(B3:D3)</f>
        <v>76.946833333333316</v>
      </c>
    </row>
    <row r="4" spans="1:7" s="28" customFormat="1" x14ac:dyDescent="0.25">
      <c r="A4" s="29" t="s">
        <v>81</v>
      </c>
      <c r="B4" s="29">
        <v>62.411000000000001</v>
      </c>
      <c r="C4" s="29">
        <v>59.521900000000002</v>
      </c>
      <c r="D4" s="29">
        <v>60.334899999999998</v>
      </c>
      <c r="E4" s="29"/>
      <c r="F4" s="2">
        <f>AVERAGE(B4:D4)</f>
        <v>60.755933333333331</v>
      </c>
    </row>
    <row r="5" spans="1:7" s="28" customFormat="1" x14ac:dyDescent="0.25">
      <c r="A5" s="29" t="s">
        <v>80</v>
      </c>
      <c r="B5" s="29">
        <v>62.841000000000001</v>
      </c>
      <c r="C5" s="29">
        <v>65.472399999999993</v>
      </c>
      <c r="D5" s="29">
        <v>66.0685</v>
      </c>
      <c r="E5" s="29"/>
      <c r="F5" s="2">
        <f>AVERAGE(B5:D5)</f>
        <v>64.793966666666662</v>
      </c>
    </row>
    <row r="6" spans="1:7" s="8" customFormat="1" x14ac:dyDescent="0.25">
      <c r="A6" s="9" t="s">
        <v>79</v>
      </c>
      <c r="B6" s="9">
        <v>46.885399999999997</v>
      </c>
      <c r="C6" s="9">
        <v>48.572600000000001</v>
      </c>
      <c r="D6" s="9">
        <v>48.783099999999997</v>
      </c>
      <c r="E6" s="9"/>
      <c r="F6" s="2">
        <f>AVERAGE(B6:D6)</f>
        <v>48.080366666666663</v>
      </c>
    </row>
    <row r="7" spans="1:7" s="8" customFormat="1" x14ac:dyDescent="0.25">
      <c r="A7" s="9" t="s">
        <v>78</v>
      </c>
      <c r="B7" s="9">
        <v>47.675899999999999</v>
      </c>
      <c r="C7" s="9">
        <v>46.511299999999999</v>
      </c>
      <c r="D7" s="9">
        <v>45.577500000000001</v>
      </c>
      <c r="E7" s="9"/>
      <c r="F7" s="2">
        <f>AVERAGE(B7:D7)</f>
        <v>46.588233333333335</v>
      </c>
    </row>
    <row r="8" spans="1:7" s="8" customFormat="1" x14ac:dyDescent="0.25">
      <c r="A8" s="9" t="s">
        <v>77</v>
      </c>
      <c r="B8" s="9">
        <v>46.379600000000003</v>
      </c>
      <c r="C8" s="9">
        <v>47.884399999999999</v>
      </c>
      <c r="D8" s="9">
        <v>48.999899999999997</v>
      </c>
      <c r="E8" s="9"/>
      <c r="F8" s="2">
        <f>AVERAGE(B8:D8)</f>
        <v>47.754633333333338</v>
      </c>
    </row>
    <row r="9" spans="1:7" s="8" customFormat="1" x14ac:dyDescent="0.25">
      <c r="A9" s="9" t="s">
        <v>76</v>
      </c>
      <c r="B9" s="9">
        <v>37.634700000000002</v>
      </c>
      <c r="C9" s="9">
        <v>36.194299999999998</v>
      </c>
      <c r="D9" s="9">
        <v>36.332799999999999</v>
      </c>
      <c r="E9" s="9"/>
      <c r="F9" s="2">
        <f>AVERAGE(B9:D9)</f>
        <v>36.720599999999997</v>
      </c>
    </row>
    <row r="10" spans="1:7" s="8" customFormat="1" x14ac:dyDescent="0.25">
      <c r="A10" s="9" t="s">
        <v>75</v>
      </c>
      <c r="B10" s="9">
        <v>34.197699999999998</v>
      </c>
      <c r="C10" s="9">
        <v>32.837200000000003</v>
      </c>
      <c r="D10" s="9">
        <v>32.838099999999997</v>
      </c>
      <c r="E10" s="9"/>
      <c r="F10" s="2">
        <f>AVERAGE(B10:D10)</f>
        <v>33.290999999999997</v>
      </c>
    </row>
    <row r="11" spans="1:7" s="26" customFormat="1" x14ac:dyDescent="0.25">
      <c r="A11" s="27" t="s">
        <v>74</v>
      </c>
      <c r="B11" s="27">
        <v>35.005299999999998</v>
      </c>
      <c r="C11" s="27">
        <v>30.425699999999999</v>
      </c>
      <c r="D11" s="27">
        <v>33.945300000000003</v>
      </c>
      <c r="E11" s="27"/>
      <c r="F11" s="2">
        <f>AVERAGE(B11:D11)</f>
        <v>33.125433333333334</v>
      </c>
    </row>
    <row r="12" spans="1:7" s="26" customFormat="1" x14ac:dyDescent="0.25">
      <c r="A12" s="27" t="s">
        <v>73</v>
      </c>
      <c r="B12" s="27">
        <v>28.964700000000001</v>
      </c>
      <c r="C12" s="27">
        <v>30.690899999999999</v>
      </c>
      <c r="D12" s="27">
        <v>28.332000000000001</v>
      </c>
      <c r="E12" s="27"/>
      <c r="F12" s="2">
        <f>AVERAGE(B12:D12)</f>
        <v>29.3292</v>
      </c>
    </row>
    <row r="13" spans="1:7" s="26" customFormat="1" x14ac:dyDescent="0.25">
      <c r="A13" s="27" t="s">
        <v>72</v>
      </c>
      <c r="B13" s="27">
        <v>33.020899999999997</v>
      </c>
      <c r="C13" s="27">
        <v>29.652200000000001</v>
      </c>
      <c r="D13" s="27">
        <v>28.645800000000001</v>
      </c>
      <c r="E13" s="27"/>
      <c r="F13" s="2">
        <f>AVERAGE(B13:D13)</f>
        <v>30.439633333333333</v>
      </c>
    </row>
    <row r="14" spans="1:7" s="26" customFormat="1" x14ac:dyDescent="0.25">
      <c r="A14" s="27" t="s">
        <v>71</v>
      </c>
      <c r="B14" s="27">
        <v>33.020899999999997</v>
      </c>
      <c r="C14" s="27">
        <v>29.652200000000001</v>
      </c>
      <c r="D14" s="27">
        <v>28.645800000000001</v>
      </c>
      <c r="E14" s="27"/>
      <c r="F14" s="2">
        <f>AVERAGE(B14:D14)</f>
        <v>30.439633333333333</v>
      </c>
    </row>
    <row r="15" spans="1:7" s="26" customFormat="1" x14ac:dyDescent="0.25">
      <c r="A15" s="27" t="s">
        <v>70</v>
      </c>
      <c r="B15" s="27">
        <v>32.9</v>
      </c>
      <c r="C15" s="27">
        <v>31.3</v>
      </c>
      <c r="D15" s="27">
        <v>31.9</v>
      </c>
      <c r="E15" s="27"/>
      <c r="F15" s="2">
        <f>AVERAGE(B15:D15)</f>
        <v>32.033333333333331</v>
      </c>
    </row>
    <row r="16" spans="1:7" s="24" customFormat="1" x14ac:dyDescent="0.25">
      <c r="A16" s="25" t="s">
        <v>69</v>
      </c>
      <c r="B16" s="25">
        <v>37.251300000000001</v>
      </c>
      <c r="C16" s="25">
        <v>35.054200000000002</v>
      </c>
      <c r="D16" s="25">
        <v>34.408000000000001</v>
      </c>
      <c r="E16" s="25"/>
      <c r="F16" s="2">
        <f>AVERAGE(B16:D16)</f>
        <v>35.571166666666663</v>
      </c>
    </row>
    <row r="17" spans="1:6" s="24" customFormat="1" x14ac:dyDescent="0.25">
      <c r="A17" s="25" t="s">
        <v>68</v>
      </c>
      <c r="B17" s="25">
        <v>37.226500000000001</v>
      </c>
      <c r="C17" s="25">
        <v>34.3506</v>
      </c>
      <c r="D17" s="25">
        <v>36.0045</v>
      </c>
      <c r="E17" s="25"/>
      <c r="F17" s="2">
        <f>AVERAGE(B17:D17)</f>
        <v>35.860533333333336</v>
      </c>
    </row>
    <row r="18" spans="1:6" s="24" customFormat="1" x14ac:dyDescent="0.25">
      <c r="A18" s="25" t="s">
        <v>67</v>
      </c>
      <c r="B18" s="25">
        <v>37.226500000000001</v>
      </c>
      <c r="C18" s="25">
        <v>34.3506</v>
      </c>
      <c r="D18" s="25">
        <v>36.0045</v>
      </c>
      <c r="E18" s="25"/>
      <c r="F18" s="2">
        <f>AVERAGE(B18:D18)</f>
        <v>35.860533333333336</v>
      </c>
    </row>
    <row r="19" spans="1:6" s="24" customFormat="1" x14ac:dyDescent="0.25">
      <c r="A19" s="25" t="s">
        <v>66</v>
      </c>
      <c r="B19" s="25">
        <v>32.745699999999999</v>
      </c>
      <c r="C19" s="25">
        <v>34.845700000000001</v>
      </c>
      <c r="D19" s="25">
        <v>34.677199999999999</v>
      </c>
      <c r="E19" s="25"/>
      <c r="F19" s="2">
        <f>AVERAGE(B19:D19)</f>
        <v>34.089533333333328</v>
      </c>
    </row>
    <row r="20" spans="1:6" s="24" customFormat="1" x14ac:dyDescent="0.25">
      <c r="A20" s="25" t="s">
        <v>65</v>
      </c>
      <c r="B20" s="25">
        <v>31.3477</v>
      </c>
      <c r="C20" s="25">
        <v>35.580399999999997</v>
      </c>
      <c r="D20" s="25">
        <v>34.1143</v>
      </c>
      <c r="E20" s="25"/>
      <c r="F20" s="2">
        <f>AVERAGE(B20:D20)</f>
        <v>33.680799999999998</v>
      </c>
    </row>
    <row r="21" spans="1:6" s="22" customFormat="1" x14ac:dyDescent="0.25">
      <c r="A21" s="23" t="s">
        <v>64</v>
      </c>
      <c r="B21" s="23">
        <v>36.005299999999998</v>
      </c>
      <c r="C21" s="23">
        <v>31.425699999999999</v>
      </c>
      <c r="D21" s="23">
        <v>34.945300000000003</v>
      </c>
      <c r="E21" s="23"/>
      <c r="F21" s="2">
        <f>AVERAGE(B21:D21)</f>
        <v>34.125433333333334</v>
      </c>
    </row>
    <row r="22" spans="1:6" s="22" customFormat="1" x14ac:dyDescent="0.25">
      <c r="A22" s="23" t="s">
        <v>63</v>
      </c>
      <c r="B22" s="23">
        <v>29.964700000000001</v>
      </c>
      <c r="C22" s="23">
        <v>31.690899999999999</v>
      </c>
      <c r="D22" s="23">
        <v>31.821999999999999</v>
      </c>
      <c r="E22" s="23"/>
      <c r="F22" s="2">
        <f>AVERAGE(B22:D22)</f>
        <v>31.159199999999998</v>
      </c>
    </row>
    <row r="23" spans="1:6" s="22" customFormat="1" x14ac:dyDescent="0.25">
      <c r="A23" s="23" t="s">
        <v>62</v>
      </c>
      <c r="B23" s="23">
        <v>34.020899999999997</v>
      </c>
      <c r="C23" s="23">
        <v>30.652200000000001</v>
      </c>
      <c r="D23" s="23">
        <v>29.645800000000001</v>
      </c>
      <c r="E23" s="23"/>
      <c r="F23" s="2">
        <f>AVERAGE(B23:D23)</f>
        <v>31.439633333333337</v>
      </c>
    </row>
    <row r="24" spans="1:6" s="22" customFormat="1" x14ac:dyDescent="0.25">
      <c r="A24" s="23" t="s">
        <v>61</v>
      </c>
      <c r="B24" s="23">
        <v>34.020899999999997</v>
      </c>
      <c r="C24" s="23">
        <v>30.652200000000001</v>
      </c>
      <c r="D24" s="23">
        <v>29.645800000000001</v>
      </c>
      <c r="E24" s="23"/>
      <c r="F24" s="2">
        <f>AVERAGE(B24:D24)</f>
        <v>31.439633333333337</v>
      </c>
    </row>
    <row r="25" spans="1:6" s="22" customFormat="1" x14ac:dyDescent="0.25">
      <c r="A25" s="23" t="s">
        <v>60</v>
      </c>
      <c r="B25" s="23">
        <v>35.821599999999997</v>
      </c>
      <c r="C25" s="23">
        <v>31.597899999999999</v>
      </c>
      <c r="D25" s="23">
        <v>32.659100000000002</v>
      </c>
      <c r="E25" s="23"/>
      <c r="F25" s="2">
        <f>AVERAGE(B25:D25)</f>
        <v>33.359533333333331</v>
      </c>
    </row>
    <row r="26" spans="1:6" s="8" customFormat="1" x14ac:dyDescent="0.25">
      <c r="A26" s="9" t="s">
        <v>59</v>
      </c>
      <c r="B26" s="9">
        <v>34.729399999999998</v>
      </c>
      <c r="C26" s="9">
        <v>36.438899999999997</v>
      </c>
      <c r="D26" s="9">
        <v>32.5075</v>
      </c>
      <c r="E26" s="9"/>
      <c r="F26" s="2">
        <f>AVERAGE(B26:D26)</f>
        <v>34.558599999999991</v>
      </c>
    </row>
    <row r="27" spans="1:6" s="8" customFormat="1" x14ac:dyDescent="0.25">
      <c r="A27" s="9" t="s">
        <v>58</v>
      </c>
      <c r="B27" s="9">
        <v>33.603700000000003</v>
      </c>
      <c r="C27" s="9">
        <v>32.247900000000001</v>
      </c>
      <c r="D27" s="9">
        <v>35.458300000000001</v>
      </c>
      <c r="E27" s="9"/>
      <c r="F27" s="2">
        <f>AVERAGE(B27:D27)</f>
        <v>33.769966666666669</v>
      </c>
    </row>
    <row r="28" spans="1:6" s="8" customFormat="1" x14ac:dyDescent="0.25">
      <c r="A28" s="9" t="s">
        <v>57</v>
      </c>
      <c r="B28" s="9">
        <v>44.173400000000001</v>
      </c>
      <c r="C28" s="9">
        <v>45.9041</v>
      </c>
      <c r="D28" s="9">
        <v>43.438800000000001</v>
      </c>
      <c r="E28" s="9"/>
      <c r="F28" s="2">
        <f>AVERAGE(B28:D28)</f>
        <v>44.505433333333336</v>
      </c>
    </row>
    <row r="29" spans="1:6" s="8" customFormat="1" x14ac:dyDescent="0.25">
      <c r="A29" s="9" t="s">
        <v>56</v>
      </c>
      <c r="B29" s="9">
        <v>46.530700000000003</v>
      </c>
      <c r="C29" s="9">
        <v>51.926900000000003</v>
      </c>
      <c r="D29" s="9">
        <v>51.461300000000001</v>
      </c>
      <c r="E29" s="9"/>
      <c r="F29" s="2">
        <f>AVERAGE(B29:D29)</f>
        <v>49.972966666666672</v>
      </c>
    </row>
    <row r="30" spans="1:6" s="8" customFormat="1" x14ac:dyDescent="0.25">
      <c r="A30" s="9" t="s">
        <v>55</v>
      </c>
      <c r="B30" s="9">
        <v>47.675899999999999</v>
      </c>
      <c r="C30" s="9">
        <v>46.511299999999999</v>
      </c>
      <c r="D30" s="9">
        <v>45.577500000000001</v>
      </c>
      <c r="E30" s="9"/>
      <c r="F30" s="2">
        <f>AVERAGE(B30:D30)</f>
        <v>46.588233333333335</v>
      </c>
    </row>
    <row r="31" spans="1:6" s="20" customFormat="1" x14ac:dyDescent="0.25">
      <c r="A31" s="21" t="s">
        <v>54</v>
      </c>
      <c r="B31" s="21">
        <v>8.5960999999999999</v>
      </c>
      <c r="C31" s="21"/>
      <c r="D31" s="21"/>
      <c r="E31" s="21"/>
      <c r="F31" s="2">
        <f>AVERAGE(B31:D31)</f>
        <v>8.5960999999999999</v>
      </c>
    </row>
    <row r="32" spans="1:6" s="20" customFormat="1" x14ac:dyDescent="0.25">
      <c r="A32" s="21" t="s">
        <v>53</v>
      </c>
      <c r="B32" s="21">
        <v>5.5209000000000001</v>
      </c>
      <c r="C32" s="21">
        <v>7.1471999999999998</v>
      </c>
      <c r="D32" s="21">
        <v>8.5592000000000006</v>
      </c>
      <c r="E32" s="21"/>
      <c r="F32" s="2">
        <f>AVERAGE(B32:D32)</f>
        <v>7.0757666666666665</v>
      </c>
    </row>
    <row r="33" spans="1:6" s="20" customFormat="1" x14ac:dyDescent="0.25">
      <c r="A33" s="21" t="s">
        <v>52</v>
      </c>
      <c r="B33" s="21">
        <v>7.0015000000000001</v>
      </c>
      <c r="C33" s="21">
        <v>6.2013999999999996</v>
      </c>
      <c r="D33" s="21">
        <v>13.726599999999999</v>
      </c>
      <c r="E33" s="21"/>
      <c r="F33" s="2">
        <f>AVERAGE(B33:D33)</f>
        <v>8.9764999999999997</v>
      </c>
    </row>
    <row r="34" spans="1:6" s="20" customFormat="1" x14ac:dyDescent="0.25">
      <c r="A34" s="21" t="s">
        <v>51</v>
      </c>
      <c r="B34" s="21">
        <v>7.6216999999999997</v>
      </c>
      <c r="C34" s="21">
        <v>7.7317</v>
      </c>
      <c r="D34" s="21">
        <v>5.7535999999999996</v>
      </c>
      <c r="E34" s="21"/>
      <c r="F34" s="2">
        <f>AVERAGE(B34:D34)</f>
        <v>7.0356666666666667</v>
      </c>
    </row>
    <row r="35" spans="1:6" s="20" customFormat="1" x14ac:dyDescent="0.25">
      <c r="A35" s="21" t="s">
        <v>50</v>
      </c>
      <c r="B35" s="21">
        <v>22.2333</v>
      </c>
      <c r="C35" s="21">
        <v>11.4727</v>
      </c>
      <c r="D35" s="21">
        <v>10.4337</v>
      </c>
      <c r="E35" s="21"/>
      <c r="F35" s="2">
        <f>AVERAGE(B35:D35)</f>
        <v>14.713233333333335</v>
      </c>
    </row>
    <row r="36" spans="1:6" s="18" customFormat="1" x14ac:dyDescent="0.25">
      <c r="A36" s="19" t="s">
        <v>49</v>
      </c>
      <c r="B36" s="19">
        <v>44.831699999999998</v>
      </c>
      <c r="C36" s="19">
        <v>42.776499999999999</v>
      </c>
      <c r="D36" s="19">
        <v>43.945300000000003</v>
      </c>
      <c r="E36" s="19"/>
      <c r="F36" s="2">
        <f>AVERAGE(B36:D36)</f>
        <v>43.851166666666664</v>
      </c>
    </row>
    <row r="37" spans="1:6" s="18" customFormat="1" x14ac:dyDescent="0.25">
      <c r="A37" s="19" t="s">
        <v>48</v>
      </c>
      <c r="B37" s="19">
        <v>46.366799999999998</v>
      </c>
      <c r="C37" s="19">
        <v>43.670999999999999</v>
      </c>
      <c r="D37" s="19">
        <v>44.457299999999996</v>
      </c>
      <c r="E37" s="19"/>
      <c r="F37" s="2">
        <f>AVERAGE(B37:D37)</f>
        <v>44.831700000000005</v>
      </c>
    </row>
    <row r="38" spans="1:6" s="18" customFormat="1" x14ac:dyDescent="0.25">
      <c r="A38" s="19" t="s">
        <v>47</v>
      </c>
      <c r="B38" s="19">
        <v>48.177</v>
      </c>
      <c r="C38" s="19">
        <v>43.573999999999998</v>
      </c>
      <c r="D38" s="19">
        <v>45.854799999999997</v>
      </c>
      <c r="E38" s="19"/>
      <c r="F38" s="2">
        <f>AVERAGE(B38:D38)</f>
        <v>45.868599999999994</v>
      </c>
    </row>
    <row r="39" spans="1:6" s="18" customFormat="1" x14ac:dyDescent="0.25">
      <c r="A39" s="19" t="s">
        <v>46</v>
      </c>
      <c r="B39" s="19">
        <v>50.819200000000002</v>
      </c>
      <c r="C39" s="19">
        <v>48.442100000000003</v>
      </c>
      <c r="D39" s="19">
        <v>45.503900000000002</v>
      </c>
      <c r="E39" s="19"/>
      <c r="F39" s="2">
        <f>AVERAGE(B39:D39)</f>
        <v>48.255066666666664</v>
      </c>
    </row>
    <row r="40" spans="1:6" s="18" customFormat="1" x14ac:dyDescent="0.25">
      <c r="A40" s="19" t="s">
        <v>45</v>
      </c>
      <c r="B40" s="19">
        <v>48.1006</v>
      </c>
      <c r="C40" s="19">
        <v>45.319699999999997</v>
      </c>
      <c r="D40" s="19"/>
      <c r="E40" s="19"/>
      <c r="F40" s="2">
        <f>AVERAGE(B40:D40)</f>
        <v>46.710149999999999</v>
      </c>
    </row>
    <row r="41" spans="1:6" s="16" customFormat="1" x14ac:dyDescent="0.25">
      <c r="A41" s="17" t="s">
        <v>44</v>
      </c>
      <c r="B41" s="17">
        <v>51.289000000000001</v>
      </c>
      <c r="C41" s="17">
        <v>43.4666</v>
      </c>
      <c r="D41" s="17">
        <v>42.482500000000002</v>
      </c>
      <c r="E41" s="17"/>
      <c r="F41" s="2">
        <f>AVERAGE(B41:D41)</f>
        <v>45.746033333333337</v>
      </c>
    </row>
    <row r="42" spans="1:6" s="16" customFormat="1" x14ac:dyDescent="0.25">
      <c r="A42" s="17" t="s">
        <v>43</v>
      </c>
      <c r="B42" s="17">
        <v>51.317700000000002</v>
      </c>
      <c r="C42" s="17">
        <v>44.985799999999998</v>
      </c>
      <c r="D42" s="17">
        <v>44.788200000000003</v>
      </c>
      <c r="E42" s="17"/>
      <c r="F42" s="2">
        <f>AVERAGE(B42:D42)</f>
        <v>47.030566666666665</v>
      </c>
    </row>
    <row r="43" spans="1:6" s="16" customFormat="1" x14ac:dyDescent="0.25">
      <c r="A43" s="17" t="s">
        <v>42</v>
      </c>
      <c r="B43" s="17">
        <v>46.608600000000003</v>
      </c>
      <c r="C43" s="17">
        <v>43.0396</v>
      </c>
      <c r="D43" s="17">
        <v>42.888599999999997</v>
      </c>
      <c r="E43" s="17"/>
      <c r="F43" s="2">
        <f>AVERAGE(B43:D43)</f>
        <v>44.178933333333333</v>
      </c>
    </row>
    <row r="44" spans="1:6" s="16" customFormat="1" x14ac:dyDescent="0.25">
      <c r="A44" s="17" t="s">
        <v>41</v>
      </c>
      <c r="B44" s="17">
        <v>47.338000000000001</v>
      </c>
      <c r="C44" s="17">
        <v>43.912100000000002</v>
      </c>
      <c r="D44" s="17">
        <v>45.430300000000003</v>
      </c>
      <c r="E44" s="17"/>
      <c r="F44" s="2">
        <f>AVERAGE(B44:D44)</f>
        <v>45.56013333333334</v>
      </c>
    </row>
    <row r="45" spans="1:6" s="16" customFormat="1" x14ac:dyDescent="0.25">
      <c r="A45" s="17" t="s">
        <v>40</v>
      </c>
      <c r="B45" s="17">
        <v>48.0458</v>
      </c>
      <c r="C45" s="17">
        <v>48.053400000000003</v>
      </c>
      <c r="D45" s="17">
        <v>51.902900000000002</v>
      </c>
      <c r="E45" s="17"/>
      <c r="F45" s="2">
        <f>AVERAGE(B45:D45)</f>
        <v>49.334033333333331</v>
      </c>
    </row>
    <row r="46" spans="1:6" s="8" customFormat="1" x14ac:dyDescent="0.25">
      <c r="A46" s="9" t="s">
        <v>39</v>
      </c>
      <c r="B46" s="9">
        <v>46.885399999999997</v>
      </c>
      <c r="C46" s="9">
        <v>48.572600000000001</v>
      </c>
      <c r="D46" s="9">
        <v>48.783099999999997</v>
      </c>
      <c r="E46" s="9"/>
      <c r="F46" s="2">
        <f>AVERAGE(B46:D46)</f>
        <v>48.080366666666663</v>
      </c>
    </row>
    <row r="47" spans="1:6" s="8" customFormat="1" x14ac:dyDescent="0.25">
      <c r="A47" s="9" t="s">
        <v>38</v>
      </c>
      <c r="B47" s="9">
        <v>47.675899999999999</v>
      </c>
      <c r="C47" s="9">
        <v>46.511299999999999</v>
      </c>
      <c r="D47" s="9">
        <v>45.577500000000001</v>
      </c>
      <c r="E47" s="9"/>
      <c r="F47" s="2">
        <f>AVERAGE(B47:D47)</f>
        <v>46.588233333333335</v>
      </c>
    </row>
    <row r="48" spans="1:6" s="8" customFormat="1" x14ac:dyDescent="0.25">
      <c r="A48" s="9" t="s">
        <v>37</v>
      </c>
      <c r="B48" s="9">
        <v>46.379600000000003</v>
      </c>
      <c r="C48" s="9">
        <v>47.884399999999999</v>
      </c>
      <c r="D48" s="9">
        <v>48.999899999999997</v>
      </c>
      <c r="E48" s="9"/>
      <c r="F48" s="2">
        <f>AVERAGE(B48:D48)</f>
        <v>47.754633333333338</v>
      </c>
    </row>
    <row r="49" spans="1:6" s="8" customFormat="1" x14ac:dyDescent="0.25">
      <c r="A49" s="9" t="s">
        <v>36</v>
      </c>
      <c r="B49" s="9">
        <v>44.8613</v>
      </c>
      <c r="C49" s="9">
        <v>51.263300000000001</v>
      </c>
      <c r="D49" s="9">
        <v>44.176600000000001</v>
      </c>
      <c r="E49" s="9"/>
      <c r="F49" s="2">
        <f>AVERAGE(B49:D49)</f>
        <v>46.767066666666665</v>
      </c>
    </row>
    <row r="50" spans="1:6" s="8" customFormat="1" x14ac:dyDescent="0.25">
      <c r="A50" s="9" t="s">
        <v>35</v>
      </c>
      <c r="B50" s="9">
        <v>37.634700000000002</v>
      </c>
      <c r="C50" s="9">
        <v>36.194299999999998</v>
      </c>
      <c r="D50" s="9">
        <v>36.332799999999999</v>
      </c>
      <c r="E50" s="9"/>
      <c r="F50" s="2">
        <f>AVERAGE(B50:D50)</f>
        <v>36.720599999999997</v>
      </c>
    </row>
    <row r="51" spans="1:6" s="14" customFormat="1" x14ac:dyDescent="0.25">
      <c r="A51" s="15" t="s">
        <v>34</v>
      </c>
      <c r="B51" s="15">
        <v>35.005299999999998</v>
      </c>
      <c r="C51" s="15">
        <v>30.425699999999999</v>
      </c>
      <c r="D51" s="15">
        <v>33.945300000000003</v>
      </c>
      <c r="E51" s="15"/>
      <c r="F51" s="2">
        <f>AVERAGE(B51:D51)</f>
        <v>33.125433333333334</v>
      </c>
    </row>
    <row r="52" spans="1:6" s="14" customFormat="1" x14ac:dyDescent="0.25">
      <c r="A52" s="15" t="s">
        <v>33</v>
      </c>
      <c r="B52" s="15">
        <v>28.964700000000001</v>
      </c>
      <c r="C52" s="15">
        <v>30.690899999999999</v>
      </c>
      <c r="D52" s="15">
        <v>30.821999999999999</v>
      </c>
      <c r="E52" s="15"/>
      <c r="F52" s="2">
        <f>AVERAGE(B52:D52)</f>
        <v>30.159199999999998</v>
      </c>
    </row>
    <row r="53" spans="1:6" s="14" customFormat="1" x14ac:dyDescent="0.25">
      <c r="A53" s="15" t="s">
        <v>32</v>
      </c>
      <c r="B53" s="15">
        <v>33.020899999999997</v>
      </c>
      <c r="C53" s="15">
        <v>29.652200000000001</v>
      </c>
      <c r="D53" s="15">
        <v>28.645800000000001</v>
      </c>
      <c r="E53" s="15"/>
      <c r="F53" s="2">
        <f>AVERAGE(B53:D53)</f>
        <v>30.439633333333333</v>
      </c>
    </row>
    <row r="54" spans="1:6" s="14" customFormat="1" x14ac:dyDescent="0.25">
      <c r="A54" s="15" t="s">
        <v>31</v>
      </c>
      <c r="B54" s="15">
        <v>33.020899999999997</v>
      </c>
      <c r="C54" s="15">
        <v>29.652200000000001</v>
      </c>
      <c r="D54" s="15">
        <v>28.645800000000001</v>
      </c>
      <c r="E54" s="15"/>
      <c r="F54" s="2">
        <f>AVERAGE(B54:D54)</f>
        <v>30.439633333333333</v>
      </c>
    </row>
    <row r="55" spans="1:6" s="14" customFormat="1" x14ac:dyDescent="0.25">
      <c r="A55" s="15" t="s">
        <v>30</v>
      </c>
      <c r="B55" s="15">
        <v>34.166200000000003</v>
      </c>
      <c r="C55" s="15">
        <v>32.283700000000003</v>
      </c>
      <c r="D55" s="15">
        <v>31.065200000000001</v>
      </c>
      <c r="E55" s="15"/>
      <c r="F55" s="2">
        <f>AVERAGE(B55:D55)</f>
        <v>32.505033333333337</v>
      </c>
    </row>
    <row r="56" spans="1:6" s="12" customFormat="1" x14ac:dyDescent="0.25">
      <c r="A56" s="13" t="s">
        <v>29</v>
      </c>
      <c r="B56" s="13">
        <v>28.483000000000001</v>
      </c>
      <c r="C56" s="13">
        <v>29.651499999999999</v>
      </c>
      <c r="D56" s="13">
        <v>30.839200000000002</v>
      </c>
      <c r="E56" s="13"/>
      <c r="F56" s="2">
        <f>AVERAGE(B56:D56)</f>
        <v>29.657900000000001</v>
      </c>
    </row>
    <row r="57" spans="1:6" s="12" customFormat="1" x14ac:dyDescent="0.25">
      <c r="A57" s="13" t="s">
        <v>28</v>
      </c>
      <c r="B57" s="13">
        <v>31.989899999999999</v>
      </c>
      <c r="C57" s="13">
        <v>27.3202</v>
      </c>
      <c r="D57" s="13">
        <v>28.700099999999999</v>
      </c>
      <c r="E57" s="13"/>
      <c r="F57" s="2">
        <f>AVERAGE(B57:D57)</f>
        <v>29.336733333333331</v>
      </c>
    </row>
    <row r="58" spans="1:6" s="12" customFormat="1" x14ac:dyDescent="0.25">
      <c r="A58" s="13" t="s">
        <v>27</v>
      </c>
      <c r="B58" s="13">
        <v>27.454599999999999</v>
      </c>
      <c r="C58" s="13">
        <v>28.587800000000001</v>
      </c>
      <c r="D58" s="13">
        <v>25.567699999999999</v>
      </c>
      <c r="E58" s="13"/>
      <c r="F58" s="2">
        <f>AVERAGE(B58:D58)</f>
        <v>27.203366666666668</v>
      </c>
    </row>
    <row r="59" spans="1:6" s="12" customFormat="1" x14ac:dyDescent="0.25">
      <c r="A59" s="13" t="s">
        <v>26</v>
      </c>
      <c r="B59" s="13">
        <v>27.454599999999999</v>
      </c>
      <c r="C59" s="13">
        <v>28.587800000000001</v>
      </c>
      <c r="D59" s="13">
        <v>25.567699999999999</v>
      </c>
      <c r="E59" s="13"/>
      <c r="F59" s="2">
        <f>AVERAGE(B59:D59)</f>
        <v>27.203366666666668</v>
      </c>
    </row>
    <row r="60" spans="1:6" s="12" customFormat="1" x14ac:dyDescent="0.25">
      <c r="A60" s="13" t="s">
        <v>25</v>
      </c>
      <c r="B60" s="13">
        <v>26.635100000000001</v>
      </c>
      <c r="C60" s="13">
        <v>29.868500000000001</v>
      </c>
      <c r="D60" s="13">
        <v>27.162600000000001</v>
      </c>
      <c r="E60" s="13"/>
      <c r="F60" s="2">
        <f>AVERAGE(B60:D60)</f>
        <v>27.888733333333334</v>
      </c>
    </row>
    <row r="61" spans="1:6" s="10" customFormat="1" x14ac:dyDescent="0.25">
      <c r="A61" s="11" t="s">
        <v>24</v>
      </c>
      <c r="B61" s="11">
        <v>38.484900000000003</v>
      </c>
      <c r="C61" s="11">
        <v>44.680399999999999</v>
      </c>
      <c r="D61" s="11">
        <v>39.776699999999998</v>
      </c>
      <c r="E61" s="11"/>
      <c r="F61" s="2">
        <f>AVERAGE(B61:D61)</f>
        <v>40.980666666666671</v>
      </c>
    </row>
    <row r="62" spans="1:6" s="10" customFormat="1" x14ac:dyDescent="0.25">
      <c r="A62" s="11" t="s">
        <v>23</v>
      </c>
      <c r="B62" s="11">
        <v>38.220100000000002</v>
      </c>
      <c r="C62" s="11">
        <v>40.613599999999998</v>
      </c>
      <c r="D62" s="11">
        <v>36.849699999999999</v>
      </c>
      <c r="E62" s="11"/>
      <c r="F62" s="2">
        <f>AVERAGE(B62:D62)</f>
        <v>38.561133333333331</v>
      </c>
    </row>
    <row r="63" spans="1:6" s="10" customFormat="1" x14ac:dyDescent="0.25">
      <c r="A63" s="11" t="s">
        <v>22</v>
      </c>
      <c r="B63" s="11">
        <v>41.017299999999999</v>
      </c>
      <c r="C63" s="11">
        <v>37.294699999999999</v>
      </c>
      <c r="D63" s="11">
        <v>37.595300000000002</v>
      </c>
      <c r="E63" s="11"/>
      <c r="F63" s="2">
        <f>AVERAGE(B63:D63)</f>
        <v>38.635766666666662</v>
      </c>
    </row>
    <row r="64" spans="1:6" s="10" customFormat="1" x14ac:dyDescent="0.25">
      <c r="A64" s="11" t="s">
        <v>21</v>
      </c>
      <c r="B64" s="11">
        <v>41.017299999999999</v>
      </c>
      <c r="C64" s="11">
        <v>37.294699999999999</v>
      </c>
      <c r="D64" s="11">
        <v>37.595300000000002</v>
      </c>
      <c r="E64" s="11"/>
      <c r="F64" s="2">
        <f>AVERAGE(B64:D64)</f>
        <v>38.635766666666662</v>
      </c>
    </row>
    <row r="65" spans="1:6" s="10" customFormat="1" x14ac:dyDescent="0.25">
      <c r="A65" s="11" t="s">
        <v>20</v>
      </c>
      <c r="B65" s="11">
        <v>38.1006</v>
      </c>
      <c r="C65" s="11">
        <v>40.362900000000003</v>
      </c>
      <c r="D65" s="11">
        <v>37.121099999999998</v>
      </c>
      <c r="E65" s="11"/>
      <c r="F65" s="2">
        <f>AVERAGE(B65:D65)</f>
        <v>38.528200000000005</v>
      </c>
    </row>
    <row r="66" spans="1:6" s="8" customFormat="1" x14ac:dyDescent="0.25">
      <c r="A66" s="9" t="s">
        <v>19</v>
      </c>
      <c r="B66" s="9">
        <v>45.251300000000001</v>
      </c>
      <c r="C66" s="9">
        <v>43.054200000000002</v>
      </c>
      <c r="D66" s="9">
        <v>42.408000000000001</v>
      </c>
      <c r="E66" s="9"/>
      <c r="F66" s="2">
        <f>AVERAGE(B66:D66)</f>
        <v>43.57116666666667</v>
      </c>
    </row>
    <row r="67" spans="1:6" s="8" customFormat="1" x14ac:dyDescent="0.25">
      <c r="A67" s="9" t="s">
        <v>18</v>
      </c>
      <c r="B67" s="9">
        <v>45.226500000000001</v>
      </c>
      <c r="C67" s="9">
        <v>42.3506</v>
      </c>
      <c r="D67" s="9">
        <v>44.0045</v>
      </c>
      <c r="E67" s="9"/>
      <c r="F67" s="2">
        <f>AVERAGE(B67:D67)</f>
        <v>43.860533333333336</v>
      </c>
    </row>
    <row r="68" spans="1:6" s="8" customFormat="1" x14ac:dyDescent="0.25">
      <c r="A68" s="9" t="s">
        <v>17</v>
      </c>
      <c r="B68" s="9">
        <v>45.226500000000001</v>
      </c>
      <c r="C68" s="9">
        <v>42.3506</v>
      </c>
      <c r="D68" s="9">
        <v>44.0045</v>
      </c>
      <c r="E68" s="9"/>
      <c r="F68" s="2">
        <f>AVERAGE(B68:D68)</f>
        <v>43.860533333333336</v>
      </c>
    </row>
    <row r="69" spans="1:6" s="8" customFormat="1" x14ac:dyDescent="0.25">
      <c r="A69" s="9" t="s">
        <v>16</v>
      </c>
      <c r="B69" s="9">
        <v>40.745699999999999</v>
      </c>
      <c r="C69" s="9">
        <v>42.845700000000001</v>
      </c>
      <c r="D69" s="9">
        <v>42.677199999999999</v>
      </c>
      <c r="E69" s="9"/>
      <c r="F69" s="2">
        <f>AVERAGE(B69:D69)</f>
        <v>42.089533333333328</v>
      </c>
    </row>
    <row r="70" spans="1:6" s="8" customFormat="1" x14ac:dyDescent="0.25">
      <c r="A70" s="9" t="s">
        <v>15</v>
      </c>
      <c r="B70" s="9">
        <v>35.368499999999997</v>
      </c>
      <c r="C70" s="9">
        <v>50.281300000000002</v>
      </c>
      <c r="D70" s="9">
        <v>35.976100000000002</v>
      </c>
      <c r="E70" s="9"/>
      <c r="F70" s="2">
        <f>AVERAGE(B70:D70)</f>
        <v>40.541966666666667</v>
      </c>
    </row>
    <row r="71" spans="1:6" s="6" customFormat="1" x14ac:dyDescent="0.25">
      <c r="A71" s="7" t="s">
        <v>14</v>
      </c>
      <c r="B71" s="7">
        <v>61.407200000000003</v>
      </c>
      <c r="C71" s="7">
        <v>64.499099999999999</v>
      </c>
      <c r="D71" s="7">
        <v>64.710899999999995</v>
      </c>
      <c r="E71" s="7"/>
      <c r="F71" s="2">
        <f>AVERAGE(B71:D71)</f>
        <v>63.539066666666663</v>
      </c>
    </row>
    <row r="72" spans="1:6" s="6" customFormat="1" x14ac:dyDescent="0.25">
      <c r="A72" s="7" t="s">
        <v>13</v>
      </c>
      <c r="B72" s="7">
        <v>64.361900000000006</v>
      </c>
      <c r="C72" s="7">
        <v>60.623199999999997</v>
      </c>
      <c r="D72" s="7">
        <v>61.4758</v>
      </c>
      <c r="E72" s="7"/>
      <c r="F72" s="2">
        <f>AVERAGE(B72:D72)</f>
        <v>62.153633333333339</v>
      </c>
    </row>
    <row r="73" spans="1:6" s="6" customFormat="1" x14ac:dyDescent="0.25">
      <c r="A73" s="7" t="s">
        <v>12</v>
      </c>
      <c r="B73" s="7">
        <v>56.869399999999999</v>
      </c>
      <c r="C73" s="7">
        <v>58.331499999999998</v>
      </c>
      <c r="D73" s="7">
        <v>63.944000000000003</v>
      </c>
      <c r="E73" s="7"/>
      <c r="F73" s="2">
        <f>AVERAGE(B73:D73)</f>
        <v>59.714966666666669</v>
      </c>
    </row>
    <row r="74" spans="1:6" s="6" customFormat="1" x14ac:dyDescent="0.25">
      <c r="A74" s="7" t="s">
        <v>11</v>
      </c>
      <c r="B74" s="7">
        <v>59.4285</v>
      </c>
      <c r="C74" s="7">
        <v>57.372799999999998</v>
      </c>
      <c r="D74" s="7">
        <v>60.582599999999999</v>
      </c>
      <c r="E74" s="7"/>
      <c r="F74" s="2">
        <f>AVERAGE(B74:D74)</f>
        <v>59.127966666666659</v>
      </c>
    </row>
    <row r="75" spans="1:6" s="6" customFormat="1" x14ac:dyDescent="0.25">
      <c r="A75" s="7" t="s">
        <v>10</v>
      </c>
      <c r="B75" s="7">
        <v>59.4285</v>
      </c>
      <c r="C75" s="7">
        <v>57.372799999999998</v>
      </c>
      <c r="D75" s="7">
        <v>60.582599999999999</v>
      </c>
      <c r="E75" s="7"/>
      <c r="F75" s="2">
        <f>AVERAGE(B75:D75)</f>
        <v>59.127966666666659</v>
      </c>
    </row>
    <row r="76" spans="1:6" s="4" customFormat="1" x14ac:dyDescent="0.25">
      <c r="A76" s="5" t="s">
        <v>9</v>
      </c>
      <c r="B76" s="5">
        <v>64.726100000000002</v>
      </c>
      <c r="C76" s="5">
        <v>66.390500000000003</v>
      </c>
      <c r="D76" s="5">
        <v>65.175200000000004</v>
      </c>
      <c r="E76" s="5"/>
      <c r="F76" s="2">
        <f>AVERAGE(B76:D76)</f>
        <v>65.430600000000013</v>
      </c>
    </row>
    <row r="77" spans="1:6" s="4" customFormat="1" x14ac:dyDescent="0.25">
      <c r="A77" s="5" t="s">
        <v>8</v>
      </c>
      <c r="B77" s="5">
        <v>57.319899999999997</v>
      </c>
      <c r="C77" s="5">
        <v>56.789299999999997</v>
      </c>
      <c r="D77" s="5">
        <v>55.005800000000001</v>
      </c>
      <c r="E77" s="5"/>
      <c r="F77" s="2">
        <f>AVERAGE(B77:D77)</f>
        <v>56.371666666666663</v>
      </c>
    </row>
    <row r="78" spans="1:6" s="4" customFormat="1" x14ac:dyDescent="0.25">
      <c r="A78" s="5" t="s">
        <v>7</v>
      </c>
      <c r="B78" s="5">
        <v>60.195700000000002</v>
      </c>
      <c r="C78" s="5">
        <v>58.258499999999998</v>
      </c>
      <c r="D78" s="5">
        <v>59.433100000000003</v>
      </c>
      <c r="E78" s="5"/>
      <c r="F78" s="2">
        <f>AVERAGE(B78:D78)</f>
        <v>59.295766666666673</v>
      </c>
    </row>
    <row r="79" spans="1:6" s="4" customFormat="1" x14ac:dyDescent="0.25">
      <c r="A79" s="5" t="s">
        <v>6</v>
      </c>
      <c r="B79" s="5">
        <v>60.195700000000002</v>
      </c>
      <c r="C79" s="5">
        <v>58.258499999999998</v>
      </c>
      <c r="D79" s="5">
        <v>59.433100000000003</v>
      </c>
      <c r="E79" s="5"/>
      <c r="F79" s="2">
        <f>AVERAGE(B79:D79)</f>
        <v>59.295766666666673</v>
      </c>
    </row>
    <row r="80" spans="1:6" s="4" customFormat="1" x14ac:dyDescent="0.25">
      <c r="A80" s="5" t="s">
        <v>5</v>
      </c>
      <c r="B80" s="5">
        <v>57.938299999999998</v>
      </c>
      <c r="C80" s="5">
        <v>57.3812</v>
      </c>
      <c r="D80" s="5">
        <v>58.081200000000003</v>
      </c>
      <c r="E80" s="5"/>
      <c r="F80" s="2">
        <f>AVERAGE(B80:D80)</f>
        <v>57.800233333333331</v>
      </c>
    </row>
    <row r="81" spans="1:6" s="1" customFormat="1" x14ac:dyDescent="0.25">
      <c r="A81" s="3" t="s">
        <v>4</v>
      </c>
      <c r="B81" s="3">
        <v>63.215000000000003</v>
      </c>
      <c r="C81" s="3">
        <v>64.5642</v>
      </c>
      <c r="D81" s="3">
        <v>63.2682</v>
      </c>
      <c r="E81" s="3"/>
      <c r="F81" s="2">
        <f>AVERAGE(B81:D81)</f>
        <v>63.68246666666667</v>
      </c>
    </row>
    <row r="82" spans="1:6" s="1" customFormat="1" x14ac:dyDescent="0.25">
      <c r="A82" s="3" t="s">
        <v>3</v>
      </c>
      <c r="B82" s="3">
        <v>56.2166</v>
      </c>
      <c r="C82" s="3">
        <v>57.657699999999998</v>
      </c>
      <c r="D82" s="3">
        <v>56.284999999999997</v>
      </c>
      <c r="E82" s="3"/>
      <c r="F82" s="2">
        <f>AVERAGE(B82:D82)</f>
        <v>56.719766666666665</v>
      </c>
    </row>
    <row r="83" spans="1:6" s="1" customFormat="1" x14ac:dyDescent="0.25">
      <c r="A83" s="3" t="s">
        <v>2</v>
      </c>
      <c r="B83" s="3">
        <v>58.877200000000002</v>
      </c>
      <c r="C83" s="3">
        <v>56.771900000000002</v>
      </c>
      <c r="D83" s="3">
        <v>58.440100000000001</v>
      </c>
      <c r="E83" s="3"/>
      <c r="F83" s="2">
        <f>AVERAGE(B83:D83)</f>
        <v>58.029733333333333</v>
      </c>
    </row>
    <row r="84" spans="1:6" s="1" customFormat="1" x14ac:dyDescent="0.25">
      <c r="A84" s="3" t="s">
        <v>1</v>
      </c>
      <c r="B84" s="3">
        <v>58.877200000000002</v>
      </c>
      <c r="C84" s="3">
        <v>56.771900000000002</v>
      </c>
      <c r="D84" s="3">
        <v>58.440100000000001</v>
      </c>
      <c r="E84" s="3"/>
      <c r="F84" s="2">
        <f>AVERAGE(B84:D84)</f>
        <v>58.029733333333333</v>
      </c>
    </row>
    <row r="85" spans="1:6" s="1" customFormat="1" x14ac:dyDescent="0.25">
      <c r="A85" s="3" t="s">
        <v>0</v>
      </c>
      <c r="B85" s="3">
        <v>58.732399999999998</v>
      </c>
      <c r="C85" s="3">
        <v>58.569099999999999</v>
      </c>
      <c r="D85" s="3">
        <v>53.545499999999997</v>
      </c>
      <c r="E85" s="3"/>
      <c r="F85" s="2">
        <f>AVERAGE(B85:D85)</f>
        <v>56.949000000000005</v>
      </c>
    </row>
  </sheetData>
  <phoneticPr fontId="1" type="noConversion"/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CB2EB3741C2EF4695B04BD1F7350325" ma:contentTypeVersion="14" ma:contentTypeDescription="Create a new document." ma:contentTypeScope="" ma:versionID="402ba54198fe416ef7063e0893b0609d">
  <xsd:schema xmlns:xsd="http://www.w3.org/2001/XMLSchema" xmlns:xs="http://www.w3.org/2001/XMLSchema" xmlns:p="http://schemas.microsoft.com/office/2006/metadata/properties" xmlns:ns3="9cc15066-1d6f-4e03-ba94-ef542d393527" targetNamespace="http://schemas.microsoft.com/office/2006/metadata/properties" ma:root="true" ma:fieldsID="a983550a8ede10fbe3088e8cf1de0b78" ns3:_="">
    <xsd:import namespace="9cc15066-1d6f-4e03-ba94-ef542d393527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AutoKeyPoints" minOccurs="0"/>
                <xsd:element ref="ns3:MediaServiceKeyPoints" minOccurs="0"/>
                <xsd:element ref="ns3:MediaServiceSearchProperties" minOccurs="0"/>
                <xsd:element ref="ns3:_activity" minOccurs="0"/>
                <xsd:element ref="ns3:MediaServiceDateTaken" minOccurs="0"/>
                <xsd:element ref="ns3:MediaServiceObjectDetectorVersions" minOccurs="0"/>
                <xsd:element ref="ns3:MediaLengthInSeconds" minOccurs="0"/>
                <xsd:element ref="ns3:MediaServiceSystemTag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cc15066-1d6f-4e03-ba94-ef542d39352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SearchProperties" ma:index="1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7" nillable="true" ma:displayName="_activity" ma:hidden="true" ma:internalName="_activity">
      <xsd:simpleType>
        <xsd:restriction base="dms:Note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ystemTags" ma:index="21" nillable="true" ma:displayName="MediaServiceSystemTags" ma:hidden="true" ma:internalName="MediaServiceSystemTag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9cc15066-1d6f-4e03-ba94-ef542d393527" xsi:nil="true"/>
  </documentManagement>
</p:properties>
</file>

<file path=customXml/itemProps1.xml><?xml version="1.0" encoding="utf-8"?>
<ds:datastoreItem xmlns:ds="http://schemas.openxmlformats.org/officeDocument/2006/customXml" ds:itemID="{68DC8116-0838-4E8B-8E74-F57E958F56A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cc15066-1d6f-4e03-ba94-ef542d39352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9F30F9C-D99B-46EB-B022-9B7DDE58B88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BAD3ECD-11EA-4AA1-B0FE-F574F8289235}">
  <ds:schemaRefs>
    <ds:schemaRef ds:uri="http://schemas.microsoft.com/office/2006/documentManagement/types"/>
    <ds:schemaRef ds:uri="http://purl.org/dc/elements/1.1/"/>
    <ds:schemaRef ds:uri="http://schemas.openxmlformats.org/package/2006/metadata/core-properties"/>
    <ds:schemaRef ds:uri="http://www.w3.org/XML/1998/namespace"/>
    <ds:schemaRef ds:uri="http://schemas.microsoft.com/office/2006/metadata/properties"/>
    <ds:schemaRef ds:uri="http://purl.org/dc/terms/"/>
    <ds:schemaRef ds:uri="http://purl.org/dc/dcmitype/"/>
    <ds:schemaRef ds:uri="http://schemas.microsoft.com/office/infopath/2007/PartnerControls"/>
    <ds:schemaRef ds:uri="9cc15066-1d6f-4e03-ba94-ef542d393527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Break force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ZHANG Xinyue</dc:creator>
  <cp:lastModifiedBy>ZHANG Xinyue</cp:lastModifiedBy>
  <dcterms:created xsi:type="dcterms:W3CDTF">2026-02-01T15:19:56Z</dcterms:created>
  <dcterms:modified xsi:type="dcterms:W3CDTF">2026-02-01T15:46:19Z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0x0101005CB2EB3741C2EF4695B04BD1F7350325</vt:lpwstr>
  </property>
</Properties>
</file>