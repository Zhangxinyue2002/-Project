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E:\工作\菠萝叶本身制取\"/>
    </mc:Choice>
  </mc:AlternateContent>
  <xr:revisionPtr revIDLastSave="0" documentId="8_{AA2FB170-181B-4323-9821-A79CF2D5CFF3}" xr6:coauthVersionLast="47" xr6:coauthVersionMax="47" xr10:uidLastSave="{00000000-0000-0000-0000-000000000000}"/>
  <bookViews>
    <workbookView xWindow="-108" yWindow="-108" windowWidth="24792" windowHeight="13320" xr2:uid="{CAE7088F-1F0C-441E-8FE2-5D7D53B8DE0C}"/>
  </bookViews>
  <sheets>
    <sheet name="Extraction rate"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7" i="1" l="1"/>
  <c r="C8" i="1"/>
  <c r="C9" i="1"/>
  <c r="C10" i="1"/>
  <c r="D11" i="1"/>
  <c r="C12" i="1"/>
  <c r="C13" i="1"/>
  <c r="C14" i="1"/>
  <c r="C15" i="1"/>
  <c r="D16" i="1"/>
  <c r="C17" i="1"/>
  <c r="C18" i="1"/>
  <c r="C19" i="1"/>
  <c r="C20" i="1"/>
  <c r="D21" i="1"/>
  <c r="C22" i="1"/>
  <c r="C23" i="1"/>
  <c r="C24" i="1"/>
  <c r="C25" i="1"/>
  <c r="D26" i="1"/>
  <c r="D27" i="1"/>
  <c r="D28" i="1"/>
  <c r="B29" i="1"/>
  <c r="D29" i="1"/>
  <c r="D30" i="1"/>
  <c r="D31" i="1"/>
  <c r="D32" i="1"/>
  <c r="D33" i="1"/>
  <c r="D34" i="1"/>
  <c r="D35" i="1"/>
  <c r="D36" i="1"/>
  <c r="D37" i="1"/>
  <c r="D38" i="1"/>
  <c r="D39" i="1"/>
  <c r="D40" i="1"/>
  <c r="D41" i="1"/>
  <c r="D42" i="1"/>
  <c r="D43" i="1"/>
  <c r="D44" i="1"/>
  <c r="D45" i="1"/>
  <c r="D46" i="1"/>
  <c r="D47" i="1"/>
  <c r="D48" i="1"/>
  <c r="D49" i="1"/>
  <c r="D50" i="1"/>
  <c r="D51" i="1"/>
  <c r="D52" i="1"/>
  <c r="D53" i="1"/>
  <c r="D55" i="1"/>
  <c r="D56" i="1"/>
  <c r="D57" i="1"/>
  <c r="D58" i="1"/>
  <c r="D60" i="1"/>
  <c r="D61" i="1"/>
  <c r="D62" i="1"/>
  <c r="D63" i="1"/>
  <c r="D65" i="1"/>
  <c r="D66" i="1"/>
  <c r="D67" i="1"/>
  <c r="D68" i="1"/>
  <c r="D69" i="1"/>
  <c r="D70" i="1"/>
  <c r="D71" i="1"/>
  <c r="D72" i="1"/>
  <c r="D73" i="1"/>
  <c r="D75" i="1"/>
  <c r="D76" i="1"/>
  <c r="D77" i="1"/>
  <c r="D78" i="1"/>
  <c r="D80" i="1"/>
  <c r="D81" i="1"/>
  <c r="D82" i="1"/>
  <c r="D83" i="1"/>
  <c r="D85" i="1"/>
  <c r="D86" i="1"/>
</calcChain>
</file>

<file path=xl/sharedStrings.xml><?xml version="1.0" encoding="utf-8"?>
<sst xmlns="http://schemas.openxmlformats.org/spreadsheetml/2006/main" count="88" uniqueCount="88">
  <si>
    <t>SR4-5</t>
  </si>
  <si>
    <t>SR4-4</t>
  </si>
  <si>
    <t>SR4-3</t>
  </si>
  <si>
    <t>SR4-2</t>
  </si>
  <si>
    <t>SR4-1</t>
  </si>
  <si>
    <t>SS4-5</t>
  </si>
  <si>
    <t>SS4-4</t>
  </si>
  <si>
    <t>SS4-3</t>
  </si>
  <si>
    <t>SS4-2</t>
  </si>
  <si>
    <t>SS4-1</t>
  </si>
  <si>
    <t>LD4-5</t>
  </si>
  <si>
    <t>LD4-4</t>
  </si>
  <si>
    <t>LD4-3</t>
  </si>
  <si>
    <t>LD4-2</t>
  </si>
  <si>
    <t>LD4-1</t>
  </si>
  <si>
    <t>LB4-5</t>
  </si>
  <si>
    <t>LB4-4</t>
  </si>
  <si>
    <t>LB4-3</t>
  </si>
  <si>
    <t>LB4-2</t>
  </si>
  <si>
    <t>LB4-1</t>
  </si>
  <si>
    <t>SR3-5</t>
  </si>
  <si>
    <t>SR3-4</t>
  </si>
  <si>
    <t>SR3-3</t>
  </si>
  <si>
    <t>SR3-2</t>
  </si>
  <si>
    <t>SR3-1</t>
  </si>
  <si>
    <t>SS3-5</t>
  </si>
  <si>
    <t>SS3-4</t>
  </si>
  <si>
    <t>SS3-3</t>
  </si>
  <si>
    <t>SS3-2</t>
  </si>
  <si>
    <t>SS3-1</t>
  </si>
  <si>
    <t>LD3-5</t>
  </si>
  <si>
    <t>LD3-4</t>
  </si>
  <si>
    <t>LD3-3</t>
  </si>
  <si>
    <t>LD3-2</t>
  </si>
  <si>
    <t>LD3-1</t>
  </si>
  <si>
    <t>LB3-5</t>
  </si>
  <si>
    <t>LB3-4</t>
  </si>
  <si>
    <t>LB3-3</t>
  </si>
  <si>
    <t>LB3-2</t>
  </si>
  <si>
    <t>LB3-1</t>
  </si>
  <si>
    <t>SR 2-5</t>
  </si>
  <si>
    <t>SR 2-4</t>
  </si>
  <si>
    <t>SR 2-3</t>
  </si>
  <si>
    <t>SR 2-2</t>
  </si>
  <si>
    <t>SR 2-1</t>
  </si>
  <si>
    <t>SS2-5</t>
  </si>
  <si>
    <t>SS2-4</t>
  </si>
  <si>
    <t>SS2-3</t>
  </si>
  <si>
    <t>SS2-2</t>
  </si>
  <si>
    <t>SS2-1</t>
  </si>
  <si>
    <t>LD2-5</t>
  </si>
  <si>
    <t>LD2-4</t>
  </si>
  <si>
    <t>LD2-3</t>
  </si>
  <si>
    <t>LD2-2</t>
  </si>
  <si>
    <t>LD2-1</t>
  </si>
  <si>
    <t>LB2-5</t>
  </si>
  <si>
    <t>LB2-4</t>
  </si>
  <si>
    <t>LB2-3</t>
  </si>
  <si>
    <t>LB2-2</t>
  </si>
  <si>
    <t>LB2-1</t>
  </si>
  <si>
    <t>SR1-5</t>
  </si>
  <si>
    <t>SR1-4</t>
  </si>
  <si>
    <t>SR1-3</t>
  </si>
  <si>
    <t>SR1-2</t>
  </si>
  <si>
    <t>SR1-1</t>
  </si>
  <si>
    <t>SS1-5</t>
  </si>
  <si>
    <t>SS1-4</t>
  </si>
  <si>
    <t>SS1-3</t>
  </si>
  <si>
    <t>SS1-2</t>
  </si>
  <si>
    <t>SS1-1</t>
  </si>
  <si>
    <t>LD1-5</t>
  </si>
  <si>
    <t>LD1-4</t>
  </si>
  <si>
    <t>LD1-3</t>
  </si>
  <si>
    <t>LD1-2</t>
  </si>
  <si>
    <t>LD1-1</t>
  </si>
  <si>
    <t>LB1-5</t>
  </si>
  <si>
    <t>LB1-4</t>
  </si>
  <si>
    <t>LB1-3</t>
  </si>
  <si>
    <t>LB1-2</t>
  </si>
  <si>
    <t>LB1-1</t>
  </si>
  <si>
    <t>SR0</t>
  </si>
  <si>
    <t>SS0</t>
  </si>
  <si>
    <t>LD0</t>
  </si>
  <si>
    <t>LB0</t>
  </si>
  <si>
    <t>Extraction Rate</t>
  </si>
  <si>
    <t>Weight After</t>
  </si>
  <si>
    <t>Weight Before</t>
  </si>
  <si>
    <t>纤维提取率是衡量纤维提取过程效率的关键指标之一，在涉及超声波辅助纤维提取的研究与实践中，其计算方法具有明确的定义。纤维提取率（E）通过超声波处理后的干燥纤维重量与超声波处理前纤维重量的比值来确定。具体公式可表示为：E=m1/m0。其中，m0代表超声波处理前的纤维重量，该重量的获取需在合适的条件下进行准确称量，以确保其能真实反映初始纤维物料的量；m1为经过超声波处理后，再经过充分干燥至恒重的纤维重量。通过此公式计算得出的纤维提取率E，以百分比的形式呈现，能够直观地反映出在超声波作用下纤维提取的效率，为评估提取工艺的优劣、优化提取条件等提供了重要的量化依据。</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</si>
</sst>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3"/>
      <charset val="134"/>
      <scheme val="minor"/>
    </font>
    <font>
      <sz val="11"/>
      <color theme="1"/>
      <name val="宋体"/>
      <family val="3"/>
      <charset val="134"/>
      <scheme val="minor"/>
    </font>
    <font>
      <sz val="9"/>
      <name val="宋体"/>
      <family val="3"/>
      <charset val="134"/>
      <scheme val="minor"/>
    </font>
  </fonts>
  <fills count="15">
    <fill>
      <patternFill patternType="none"/>
    </fill>
    <fill>
      <patternFill patternType="gray125"/>
    </fill>
    <fill>
      <patternFill patternType="solid">
        <fgColor theme="5" tint="0.39997558519241921"/>
        <bgColor indexed="64"/>
      </patternFill>
    </fill>
    <fill>
      <patternFill patternType="solid">
        <fgColor theme="5" tint="0.59999389629810485"/>
        <bgColor indexed="64"/>
      </patternFill>
    </fill>
    <fill>
      <patternFill patternType="solid">
        <fgColor theme="5" tint="0.79998168889431442"/>
        <bgColor indexed="64"/>
      </patternFill>
    </fill>
    <fill>
      <patternFill patternType="solid">
        <fgColor theme="0" tint="-4.9989318521683403E-2"/>
        <bgColor indexed="64"/>
      </patternFill>
    </fill>
    <fill>
      <patternFill patternType="solid">
        <fgColor theme="3" tint="0.39997558519241921"/>
        <bgColor indexed="64"/>
      </patternFill>
    </fill>
    <fill>
      <patternFill patternType="solid">
        <fgColor theme="3" tint="0.59999389629810485"/>
        <bgColor indexed="64"/>
      </patternFill>
    </fill>
    <fill>
      <patternFill patternType="solid">
        <fgColor theme="3" tint="0.79998168889431442"/>
        <bgColor indexed="64"/>
      </patternFill>
    </fill>
    <fill>
      <patternFill patternType="solid">
        <fgColor theme="9" tint="0.39997558519241921"/>
        <bgColor indexed="64"/>
      </patternFill>
    </fill>
    <fill>
      <patternFill patternType="solid">
        <fgColor theme="9" tint="0.59999389629810485"/>
        <bgColor indexed="64"/>
      </patternFill>
    </fill>
    <fill>
      <patternFill patternType="solid">
        <fgColor theme="9" tint="0.79998168889431442"/>
        <bgColor indexed="64"/>
      </patternFill>
    </fill>
    <fill>
      <patternFill patternType="solid">
        <fgColor theme="2" tint="-9.9978637043366805E-2"/>
        <bgColor indexed="64"/>
      </patternFill>
    </fill>
    <fill>
      <patternFill patternType="solid">
        <fgColor theme="0" tint="-0.14999847407452621"/>
        <bgColor indexed="64"/>
      </patternFill>
    </fill>
    <fill>
      <patternFill patternType="solid">
        <fgColor theme="2"/>
        <bgColor indexed="64"/>
      </patternFill>
    </fill>
  </fills>
  <borders count="2">
    <border>
      <left/>
      <right/>
      <top/>
      <bottom/>
      <diagonal/>
    </border>
    <border>
      <left style="thin">
        <color theme="2" tint="-0.249977111117893"/>
      </left>
      <right style="thin">
        <color theme="2" tint="-0.249977111117893"/>
      </right>
      <top style="thin">
        <color theme="2" tint="-0.249977111117893"/>
      </top>
      <bottom style="thin">
        <color theme="2" tint="-0.249977111117893"/>
      </bottom>
      <diagonal/>
    </border>
  </borders>
  <cellStyleXfs count="1">
    <xf numFmtId="0" fontId="0" fillId="0" borderId="0">
      <alignment vertical="center"/>
    </xf>
  </cellStyleXfs>
  <cellXfs count="44">
    <xf numFmtId="0" fontId="0" fillId="0" borderId="0" xfId="0">
      <alignment vertical="center"/>
    </xf>
    <xf numFmtId="0" fontId="0" fillId="2" borderId="0" xfId="0" applyFill="1">
      <alignment vertical="center"/>
    </xf>
    <xf numFmtId="10" fontId="0" fillId="2" borderId="1" xfId="0" applyNumberFormat="1" applyFill="1" applyBorder="1">
      <alignment vertical="center"/>
    </xf>
    <xf numFmtId="0" fontId="0" fillId="2" borderId="1" xfId="0" applyFill="1" applyBorder="1">
      <alignment vertical="center"/>
    </xf>
    <xf numFmtId="0" fontId="0" fillId="3" borderId="0" xfId="0" applyFill="1">
      <alignment vertical="center"/>
    </xf>
    <xf numFmtId="10" fontId="0" fillId="3" borderId="1" xfId="0" applyNumberFormat="1" applyFill="1" applyBorder="1">
      <alignment vertical="center"/>
    </xf>
    <xf numFmtId="0" fontId="0" fillId="3" borderId="1" xfId="0" applyFill="1" applyBorder="1">
      <alignment vertical="center"/>
    </xf>
    <xf numFmtId="0" fontId="0" fillId="4" borderId="0" xfId="0" applyFill="1">
      <alignment vertical="center"/>
    </xf>
    <xf numFmtId="10" fontId="0" fillId="4" borderId="1" xfId="0" applyNumberFormat="1" applyFill="1" applyBorder="1">
      <alignment vertical="center"/>
    </xf>
    <xf numFmtId="0" fontId="0" fillId="4" borderId="1" xfId="0" applyFill="1" applyBorder="1">
      <alignment vertical="center"/>
    </xf>
    <xf numFmtId="0" fontId="0" fillId="5" borderId="0" xfId="0" applyFill="1">
      <alignment vertical="center"/>
    </xf>
    <xf numFmtId="10" fontId="0" fillId="5" borderId="1" xfId="0" applyNumberFormat="1" applyFill="1" applyBorder="1">
      <alignment vertical="center"/>
    </xf>
    <xf numFmtId="0" fontId="0" fillId="5" borderId="1" xfId="0" applyFill="1" applyBorder="1">
      <alignment vertical="center"/>
    </xf>
    <xf numFmtId="0" fontId="0" fillId="6" borderId="0" xfId="0" applyFill="1">
      <alignment vertical="center"/>
    </xf>
    <xf numFmtId="10" fontId="0" fillId="6" borderId="1" xfId="0" applyNumberFormat="1" applyFill="1" applyBorder="1">
      <alignment vertical="center"/>
    </xf>
    <xf numFmtId="0" fontId="0" fillId="6" borderId="1" xfId="0" applyFill="1" applyBorder="1">
      <alignment vertical="center"/>
    </xf>
    <xf numFmtId="0" fontId="0" fillId="7" borderId="0" xfId="0" applyFill="1">
      <alignment vertical="center"/>
    </xf>
    <xf numFmtId="10" fontId="0" fillId="7" borderId="1" xfId="0" applyNumberFormat="1" applyFill="1" applyBorder="1">
      <alignment vertical="center"/>
    </xf>
    <xf numFmtId="0" fontId="0" fillId="7" borderId="1" xfId="0" applyFill="1" applyBorder="1">
      <alignment vertical="center"/>
    </xf>
    <xf numFmtId="0" fontId="0" fillId="8" borderId="0" xfId="0" applyFill="1">
      <alignment vertical="center"/>
    </xf>
    <xf numFmtId="10" fontId="0" fillId="8" borderId="1" xfId="0" applyNumberFormat="1" applyFill="1" applyBorder="1">
      <alignment vertical="center"/>
    </xf>
    <xf numFmtId="0" fontId="0" fillId="8" borderId="1" xfId="0" applyFill="1" applyBorder="1">
      <alignment vertical="center"/>
    </xf>
    <xf numFmtId="0" fontId="0" fillId="9" borderId="0" xfId="0" applyFill="1">
      <alignment vertical="center"/>
    </xf>
    <xf numFmtId="10" fontId="0" fillId="9" borderId="1" xfId="0" applyNumberFormat="1" applyFill="1" applyBorder="1">
      <alignment vertical="center"/>
    </xf>
    <xf numFmtId="0" fontId="0" fillId="9" borderId="1" xfId="0" applyFill="1" applyBorder="1">
      <alignment vertical="center"/>
    </xf>
    <xf numFmtId="0" fontId="0" fillId="10" borderId="0" xfId="0" applyFill="1">
      <alignment vertical="center"/>
    </xf>
    <xf numFmtId="10" fontId="0" fillId="10" borderId="1" xfId="0" applyNumberFormat="1" applyFill="1" applyBorder="1">
      <alignment vertical="center"/>
    </xf>
    <xf numFmtId="0" fontId="0" fillId="10" borderId="1" xfId="0" applyFill="1" applyBorder="1">
      <alignment vertical="center"/>
    </xf>
    <xf numFmtId="0" fontId="0" fillId="11" borderId="0" xfId="0" applyFill="1">
      <alignment vertical="center"/>
    </xf>
    <xf numFmtId="10" fontId="0" fillId="11" borderId="1" xfId="0" applyNumberFormat="1" applyFill="1" applyBorder="1">
      <alignment vertical="center"/>
    </xf>
    <xf numFmtId="0" fontId="0" fillId="11" borderId="1" xfId="0" applyFill="1" applyBorder="1">
      <alignment vertical="center"/>
    </xf>
    <xf numFmtId="0" fontId="0" fillId="12" borderId="0" xfId="0" applyFill="1">
      <alignment vertical="center"/>
    </xf>
    <xf numFmtId="10" fontId="0" fillId="12" borderId="1" xfId="0" applyNumberFormat="1" applyFill="1" applyBorder="1">
      <alignment vertical="center"/>
    </xf>
    <xf numFmtId="0" fontId="0" fillId="12" borderId="1" xfId="0" applyFill="1" applyBorder="1">
      <alignment vertical="center"/>
    </xf>
    <xf numFmtId="0" fontId="0" fillId="13" borderId="0" xfId="0" applyFill="1">
      <alignment vertical="center"/>
    </xf>
    <xf numFmtId="10" fontId="0" fillId="13" borderId="1" xfId="0" applyNumberFormat="1" applyFill="1" applyBorder="1">
      <alignment vertical="center"/>
    </xf>
    <xf numFmtId="0" fontId="0" fillId="13" borderId="1" xfId="0" applyFill="1" applyBorder="1">
      <alignment vertical="center"/>
    </xf>
    <xf numFmtId="0" fontId="0" fillId="14" borderId="0" xfId="0" applyFill="1">
      <alignment vertical="center"/>
    </xf>
    <xf numFmtId="10" fontId="0" fillId="14" borderId="1" xfId="0" applyNumberFormat="1" applyFill="1" applyBorder="1">
      <alignment vertical="center"/>
    </xf>
    <xf numFmtId="0" fontId="0" fillId="14" borderId="1" xfId="0" applyFill="1" applyBorder="1">
      <alignment vertical="center"/>
    </xf>
    <xf numFmtId="0" fontId="0" fillId="0" borderId="1" xfId="0" applyBorder="1">
      <alignment vertical="center"/>
    </xf>
    <xf numFmtId="0" fontId="0" fillId="0" borderId="0" xfId="0" applyAlignment="1">
      <alignment horizontal="left" vertical="center" wrapText="1"/>
    </xf>
    <xf numFmtId="0" fontId="0" fillId="0" borderId="0" xfId="0" applyAlignment="1">
      <alignment horizontal="left" vertical="center" wrapText="1"/>
    </xf>
    <xf numFmtId="0" fontId="1" fillId="0" borderId="0" xfId="0" applyFont="1" applyAlignment="1">
      <alignment horizontal="left"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383631-BA69-4060-AB05-A3B4A71F6CCE}">
  <dimension ref="A1:E86"/>
  <sheetViews>
    <sheetView tabSelected="1" zoomScale="76" zoomScaleNormal="76" workbookViewId="0">
      <selection activeCell="E24" sqref="E24"/>
    </sheetView>
  </sheetViews>
  <sheetFormatPr defaultColWidth="9.21875" defaultRowHeight="14.4" x14ac:dyDescent="0.25"/>
  <cols>
    <col min="2" max="2" width="14.5546875" customWidth="1"/>
    <col min="3" max="3" width="13.21875" customWidth="1"/>
    <col min="4" max="4" width="17.5546875" customWidth="1"/>
    <col min="5" max="5" width="17.77734375" customWidth="1"/>
    <col min="6" max="6" width="14.33203125" customWidth="1"/>
    <col min="7" max="7" width="14.21875" customWidth="1"/>
  </cols>
  <sheetData>
    <row r="1" spans="1:5" s="41" customFormat="1" ht="175.05" customHeight="1" x14ac:dyDescent="0.25">
      <c r="A1" s="43" t="s">
        <v>87</v>
      </c>
      <c r="B1" s="42"/>
      <c r="C1" s="42"/>
      <c r="D1" s="42"/>
      <c r="E1" s="42"/>
    </row>
    <row r="2" spans="1:5" x14ac:dyDescent="0.25">
      <c r="A2" s="40"/>
      <c r="B2" s="40" t="s">
        <v>86</v>
      </c>
      <c r="C2" s="40" t="s">
        <v>85</v>
      </c>
      <c r="D2" s="40" t="s">
        <v>84</v>
      </c>
    </row>
    <row r="3" spans="1:5" s="4" customFormat="1" x14ac:dyDescent="0.25">
      <c r="A3" s="6" t="s">
        <v>83</v>
      </c>
      <c r="B3" s="6"/>
      <c r="C3" s="6"/>
      <c r="D3" s="6"/>
    </row>
    <row r="4" spans="1:5" s="4" customFormat="1" x14ac:dyDescent="0.25">
      <c r="A4" s="6" t="s">
        <v>82</v>
      </c>
      <c r="B4" s="6"/>
      <c r="C4" s="6"/>
      <c r="D4" s="6"/>
    </row>
    <row r="5" spans="1:5" s="4" customFormat="1" x14ac:dyDescent="0.25">
      <c r="A5" s="6" t="s">
        <v>81</v>
      </c>
      <c r="B5" s="6"/>
      <c r="C5" s="6"/>
      <c r="D5" s="6"/>
    </row>
    <row r="6" spans="1:5" s="4" customFormat="1" x14ac:dyDescent="0.25">
      <c r="A6" s="6" t="s">
        <v>80</v>
      </c>
      <c r="B6" s="6"/>
      <c r="C6" s="6"/>
      <c r="D6" s="6"/>
    </row>
    <row r="7" spans="1:5" s="10" customFormat="1" x14ac:dyDescent="0.25">
      <c r="A7" s="12" t="s">
        <v>79</v>
      </c>
      <c r="B7" s="12">
        <v>4.82</v>
      </c>
      <c r="C7" s="12">
        <f>B7*D7</f>
        <v>4.0970000000000004</v>
      </c>
      <c r="D7" s="11">
        <v>0.85</v>
      </c>
    </row>
    <row r="8" spans="1:5" s="10" customFormat="1" x14ac:dyDescent="0.25">
      <c r="A8" s="12" t="s">
        <v>78</v>
      </c>
      <c r="B8" s="12">
        <v>4.82</v>
      </c>
      <c r="C8" s="12">
        <f>B8*D8</f>
        <v>3.4704000000000002</v>
      </c>
      <c r="D8" s="11">
        <v>0.72</v>
      </c>
    </row>
    <row r="9" spans="1:5" s="10" customFormat="1" x14ac:dyDescent="0.25">
      <c r="A9" s="12" t="s">
        <v>77</v>
      </c>
      <c r="B9" s="12">
        <v>4.82</v>
      </c>
      <c r="C9" s="12">
        <f>B9*D9</f>
        <v>3.1330000000000005</v>
      </c>
      <c r="D9" s="11">
        <v>0.65</v>
      </c>
    </row>
    <row r="10" spans="1:5" s="10" customFormat="1" x14ac:dyDescent="0.25">
      <c r="A10" s="12" t="s">
        <v>76</v>
      </c>
      <c r="B10" s="12">
        <v>4.82</v>
      </c>
      <c r="C10" s="12">
        <f>B10*D10</f>
        <v>2.6510000000000002</v>
      </c>
      <c r="D10" s="11">
        <v>0.55000000000000004</v>
      </c>
    </row>
    <row r="11" spans="1:5" s="10" customFormat="1" x14ac:dyDescent="0.25">
      <c r="A11" s="12" t="s">
        <v>75</v>
      </c>
      <c r="B11" s="12">
        <v>4.82</v>
      </c>
      <c r="C11" s="12">
        <v>2.371</v>
      </c>
      <c r="D11" s="11">
        <f>C11/B11</f>
        <v>0.49190871369294603</v>
      </c>
    </row>
    <row r="12" spans="1:5" s="37" customFormat="1" x14ac:dyDescent="0.25">
      <c r="A12" s="39" t="s">
        <v>74</v>
      </c>
      <c r="B12" s="39">
        <v>4.7060000000000004</v>
      </c>
      <c r="C12" s="39">
        <f>B12*D12</f>
        <v>4.3765800000000006</v>
      </c>
      <c r="D12" s="38">
        <v>0.93</v>
      </c>
    </row>
    <row r="13" spans="1:5" s="37" customFormat="1" x14ac:dyDescent="0.25">
      <c r="A13" s="39" t="s">
        <v>73</v>
      </c>
      <c r="B13" s="39">
        <v>4.7060000000000004</v>
      </c>
      <c r="C13" s="39">
        <f>B13*D13</f>
        <v>4.0001000000000007</v>
      </c>
      <c r="D13" s="38">
        <v>0.85</v>
      </c>
    </row>
    <row r="14" spans="1:5" s="37" customFormat="1" x14ac:dyDescent="0.25">
      <c r="A14" s="39" t="s">
        <v>72</v>
      </c>
      <c r="B14" s="39">
        <v>4.7060000000000004</v>
      </c>
      <c r="C14" s="39">
        <f>B14*D14</f>
        <v>3.7177400000000005</v>
      </c>
      <c r="D14" s="38">
        <v>0.79</v>
      </c>
    </row>
    <row r="15" spans="1:5" s="37" customFormat="1" x14ac:dyDescent="0.25">
      <c r="A15" s="39" t="s">
        <v>71</v>
      </c>
      <c r="B15" s="39">
        <v>4.7060000000000004</v>
      </c>
      <c r="C15" s="39">
        <f>B15*D15</f>
        <v>3.6236200000000003</v>
      </c>
      <c r="D15" s="38">
        <v>0.77</v>
      </c>
    </row>
    <row r="16" spans="1:5" s="37" customFormat="1" x14ac:dyDescent="0.25">
      <c r="A16" s="39" t="s">
        <v>70</v>
      </c>
      <c r="B16" s="39">
        <v>4.7060000000000004</v>
      </c>
      <c r="C16" s="39">
        <v>3.5939999999999999</v>
      </c>
      <c r="D16" s="38">
        <f>C16/B16</f>
        <v>0.76370590735231614</v>
      </c>
    </row>
    <row r="17" spans="1:4" s="34" customFormat="1" x14ac:dyDescent="0.25">
      <c r="A17" s="36" t="s">
        <v>69</v>
      </c>
      <c r="B17" s="36">
        <v>4.1440000000000001</v>
      </c>
      <c r="C17" s="36">
        <f>B17*D17</f>
        <v>3.3980799999999998</v>
      </c>
      <c r="D17" s="35">
        <v>0.82</v>
      </c>
    </row>
    <row r="18" spans="1:4" s="34" customFormat="1" x14ac:dyDescent="0.25">
      <c r="A18" s="36" t="s">
        <v>68</v>
      </c>
      <c r="B18" s="36">
        <v>4.1440000000000001</v>
      </c>
      <c r="C18" s="36">
        <f>B18*D18</f>
        <v>2.6107200000000002</v>
      </c>
      <c r="D18" s="35">
        <v>0.63</v>
      </c>
    </row>
    <row r="19" spans="1:4" s="34" customFormat="1" x14ac:dyDescent="0.25">
      <c r="A19" s="36" t="s">
        <v>67</v>
      </c>
      <c r="B19" s="36">
        <v>4.1440000000000001</v>
      </c>
      <c r="C19" s="36">
        <f>B19*D19</f>
        <v>1.98912</v>
      </c>
      <c r="D19" s="35">
        <v>0.48</v>
      </c>
    </row>
    <row r="20" spans="1:4" s="34" customFormat="1" x14ac:dyDescent="0.25">
      <c r="A20" s="36" t="s">
        <v>66</v>
      </c>
      <c r="B20" s="36">
        <v>4.1440000000000001</v>
      </c>
      <c r="C20" s="36">
        <f>B20*D20</f>
        <v>1.3260800000000001</v>
      </c>
      <c r="D20" s="35">
        <v>0.32</v>
      </c>
    </row>
    <row r="21" spans="1:4" s="34" customFormat="1" x14ac:dyDescent="0.25">
      <c r="A21" s="36" t="s">
        <v>65</v>
      </c>
      <c r="B21" s="36">
        <v>4.1440000000000001</v>
      </c>
      <c r="C21" s="36">
        <v>0.86199999999999999</v>
      </c>
      <c r="D21" s="35">
        <f>C21/B21</f>
        <v>0.20801158301158301</v>
      </c>
    </row>
    <row r="22" spans="1:4" s="31" customFormat="1" x14ac:dyDescent="0.25">
      <c r="A22" s="33" t="s">
        <v>64</v>
      </c>
      <c r="B22" s="33">
        <v>4.6769999999999996</v>
      </c>
      <c r="C22" s="33">
        <f>B22*D22</f>
        <v>3.6480599999999996</v>
      </c>
      <c r="D22" s="32">
        <v>0.78</v>
      </c>
    </row>
    <row r="23" spans="1:4" s="31" customFormat="1" x14ac:dyDescent="0.25">
      <c r="A23" s="33" t="s">
        <v>63</v>
      </c>
      <c r="B23" s="33">
        <v>4.6769999999999996</v>
      </c>
      <c r="C23" s="33">
        <f>B23*D23</f>
        <v>2.5723500000000001</v>
      </c>
      <c r="D23" s="32">
        <v>0.55000000000000004</v>
      </c>
    </row>
    <row r="24" spans="1:4" s="31" customFormat="1" x14ac:dyDescent="0.25">
      <c r="A24" s="33" t="s">
        <v>62</v>
      </c>
      <c r="B24" s="33">
        <v>4.6769999999999996</v>
      </c>
      <c r="C24" s="33">
        <f>B24*D24</f>
        <v>1.3563299999999998</v>
      </c>
      <c r="D24" s="32">
        <v>0.28999999999999998</v>
      </c>
    </row>
    <row r="25" spans="1:4" s="31" customFormat="1" x14ac:dyDescent="0.25">
      <c r="A25" s="33" t="s">
        <v>61</v>
      </c>
      <c r="B25" s="33">
        <v>4.6769999999999996</v>
      </c>
      <c r="C25" s="33">
        <f>B25*D25</f>
        <v>0.51446999999999998</v>
      </c>
      <c r="D25" s="32">
        <v>0.11</v>
      </c>
    </row>
    <row r="26" spans="1:4" s="31" customFormat="1" x14ac:dyDescent="0.25">
      <c r="A26" s="33" t="s">
        <v>60</v>
      </c>
      <c r="B26" s="33">
        <v>4.6769999999999996</v>
      </c>
      <c r="C26" s="33">
        <v>0.221</v>
      </c>
      <c r="D26" s="32">
        <f>C26/B26</f>
        <v>4.7252512294205691E-2</v>
      </c>
    </row>
    <row r="27" spans="1:4" s="10" customFormat="1" x14ac:dyDescent="0.25">
      <c r="A27" s="12" t="s">
        <v>59</v>
      </c>
      <c r="B27" s="12">
        <v>1.833</v>
      </c>
      <c r="C27" s="12">
        <v>0.57599999999999996</v>
      </c>
      <c r="D27" s="11">
        <f>C27/B27</f>
        <v>0.31423895253682488</v>
      </c>
    </row>
    <row r="28" spans="1:4" s="10" customFormat="1" x14ac:dyDescent="0.25">
      <c r="A28" s="12" t="s">
        <v>58</v>
      </c>
      <c r="B28" s="12">
        <v>2.0876999999999999</v>
      </c>
      <c r="C28" s="12">
        <v>0.999</v>
      </c>
      <c r="D28" s="11">
        <f>C28/B28</f>
        <v>0.47851702830866505</v>
      </c>
    </row>
    <row r="29" spans="1:4" s="10" customFormat="1" x14ac:dyDescent="0.25">
      <c r="A29" s="12" t="s">
        <v>57</v>
      </c>
      <c r="B29" s="12">
        <f>(B28+B30)/2</f>
        <v>2.59145</v>
      </c>
      <c r="C29" s="12">
        <v>0.79800000000000004</v>
      </c>
      <c r="D29" s="11">
        <f>C29/B29</f>
        <v>0.30793571166721334</v>
      </c>
    </row>
    <row r="30" spans="1:4" s="10" customFormat="1" x14ac:dyDescent="0.25">
      <c r="A30" s="12" t="s">
        <v>56</v>
      </c>
      <c r="B30" s="12">
        <v>3.0952000000000002</v>
      </c>
      <c r="C30" s="12">
        <v>1.4490000000000001</v>
      </c>
      <c r="D30" s="11">
        <f>C30/B30</f>
        <v>0.46814422331351768</v>
      </c>
    </row>
    <row r="31" spans="1:4" s="10" customFormat="1" x14ac:dyDescent="0.25">
      <c r="A31" s="12" t="s">
        <v>55</v>
      </c>
      <c r="B31" s="12">
        <v>3.9943</v>
      </c>
      <c r="C31" s="12">
        <v>2.1469999999999998</v>
      </c>
      <c r="D31" s="11">
        <f>C31/B31</f>
        <v>0.53751596024334669</v>
      </c>
    </row>
    <row r="32" spans="1:4" s="28" customFormat="1" x14ac:dyDescent="0.25">
      <c r="A32" s="30" t="s">
        <v>54</v>
      </c>
      <c r="B32" s="30">
        <v>1.181</v>
      </c>
      <c r="C32" s="30">
        <v>1.0069999999999999</v>
      </c>
      <c r="D32" s="29">
        <f>C32/B32</f>
        <v>0.85266723116003373</v>
      </c>
    </row>
    <row r="33" spans="1:4" s="28" customFormat="1" x14ac:dyDescent="0.25">
      <c r="A33" s="30" t="s">
        <v>53</v>
      </c>
      <c r="B33" s="30">
        <v>2.032</v>
      </c>
      <c r="C33" s="30">
        <v>1.772</v>
      </c>
      <c r="D33" s="29">
        <f>C33/B33</f>
        <v>0.87204724409448819</v>
      </c>
    </row>
    <row r="34" spans="1:4" s="28" customFormat="1" x14ac:dyDescent="0.25">
      <c r="A34" s="30" t="s">
        <v>52</v>
      </c>
      <c r="B34" s="30">
        <v>2.0491000000000001</v>
      </c>
      <c r="C34" s="30">
        <v>1.6819999999999999</v>
      </c>
      <c r="D34" s="29">
        <f>C34/B34</f>
        <v>0.82084817724854808</v>
      </c>
    </row>
    <row r="35" spans="1:4" s="28" customFormat="1" x14ac:dyDescent="0.25">
      <c r="A35" s="30" t="s">
        <v>51</v>
      </c>
      <c r="B35" s="30">
        <v>3.0409999999999999</v>
      </c>
      <c r="C35" s="30">
        <v>2.6549999999999998</v>
      </c>
      <c r="D35" s="29">
        <f>C35/B35</f>
        <v>0.87306806971390982</v>
      </c>
    </row>
    <row r="36" spans="1:4" s="28" customFormat="1" x14ac:dyDescent="0.25">
      <c r="A36" s="30" t="s">
        <v>50</v>
      </c>
      <c r="B36" s="30">
        <v>4.0970000000000004</v>
      </c>
      <c r="C36" s="30">
        <v>2.9580000000000002</v>
      </c>
      <c r="D36" s="29">
        <f>C36/B36</f>
        <v>0.72199170124481327</v>
      </c>
    </row>
    <row r="37" spans="1:4" s="25" customFormat="1" x14ac:dyDescent="0.25">
      <c r="A37" s="27" t="s">
        <v>49</v>
      </c>
      <c r="B37" s="27">
        <v>1.095</v>
      </c>
      <c r="C37" s="27">
        <v>0.252</v>
      </c>
      <c r="D37" s="26">
        <f>C37/B37</f>
        <v>0.23013698630136986</v>
      </c>
    </row>
    <row r="38" spans="1:4" s="25" customFormat="1" x14ac:dyDescent="0.25">
      <c r="A38" s="27" t="s">
        <v>48</v>
      </c>
      <c r="B38" s="27">
        <v>2.0041000000000002</v>
      </c>
      <c r="C38" s="27">
        <v>0.60199999999999998</v>
      </c>
      <c r="D38" s="26">
        <f>C38/B38</f>
        <v>0.3003842123646524</v>
      </c>
    </row>
    <row r="39" spans="1:4" s="25" customFormat="1" x14ac:dyDescent="0.25">
      <c r="A39" s="27" t="s">
        <v>47</v>
      </c>
      <c r="B39" s="27">
        <v>2.0709</v>
      </c>
      <c r="C39" s="27">
        <v>0.93200000000000005</v>
      </c>
      <c r="D39" s="26">
        <f>C39/B39</f>
        <v>0.45004587377468735</v>
      </c>
    </row>
    <row r="40" spans="1:4" s="25" customFormat="1" x14ac:dyDescent="0.25">
      <c r="A40" s="27" t="s">
        <v>46</v>
      </c>
      <c r="B40" s="27">
        <v>3.0114999999999998</v>
      </c>
      <c r="C40" s="27">
        <v>1.004</v>
      </c>
      <c r="D40" s="26">
        <f>C40/B40</f>
        <v>0.33338867673916656</v>
      </c>
    </row>
    <row r="41" spans="1:4" s="25" customFormat="1" x14ac:dyDescent="0.25">
      <c r="A41" s="27" t="s">
        <v>45</v>
      </c>
      <c r="B41" s="27">
        <v>3.9171</v>
      </c>
      <c r="C41" s="27">
        <v>2.3820000000000001</v>
      </c>
      <c r="D41" s="26">
        <f>C41/B41</f>
        <v>0.60810293329248677</v>
      </c>
    </row>
    <row r="42" spans="1:4" s="22" customFormat="1" x14ac:dyDescent="0.25">
      <c r="A42" s="24" t="s">
        <v>44</v>
      </c>
      <c r="B42" s="24">
        <v>1.0444</v>
      </c>
      <c r="C42" s="24">
        <v>0.153</v>
      </c>
      <c r="D42" s="23">
        <f>C42/B42</f>
        <v>0.14649559555725775</v>
      </c>
    </row>
    <row r="43" spans="1:4" s="22" customFormat="1" x14ac:dyDescent="0.25">
      <c r="A43" s="24" t="s">
        <v>43</v>
      </c>
      <c r="B43" s="24">
        <v>2.0697999999999999</v>
      </c>
      <c r="C43" s="24">
        <v>0.35199999999999998</v>
      </c>
      <c r="D43" s="23">
        <f>C43/B43</f>
        <v>0.17006474055464296</v>
      </c>
    </row>
    <row r="44" spans="1:4" s="22" customFormat="1" x14ac:dyDescent="0.25">
      <c r="A44" s="24" t="s">
        <v>42</v>
      </c>
      <c r="B44" s="24">
        <v>2.4910000000000001</v>
      </c>
      <c r="C44" s="24">
        <v>0.622</v>
      </c>
      <c r="D44" s="23">
        <f>C44/B44</f>
        <v>0.24969891609795261</v>
      </c>
    </row>
    <row r="45" spans="1:4" s="22" customFormat="1" x14ac:dyDescent="0.25">
      <c r="A45" s="24" t="s">
        <v>41</v>
      </c>
      <c r="B45" s="24">
        <v>3.0453000000000001</v>
      </c>
      <c r="C45" s="24">
        <v>0.50700000000000001</v>
      </c>
      <c r="D45" s="23">
        <f>C45/B45</f>
        <v>0.16648606048665154</v>
      </c>
    </row>
    <row r="46" spans="1:4" s="22" customFormat="1" x14ac:dyDescent="0.25">
      <c r="A46" s="24" t="s">
        <v>40</v>
      </c>
      <c r="B46" s="24">
        <v>4.0354999999999999</v>
      </c>
      <c r="C46" s="24">
        <v>0.624</v>
      </c>
      <c r="D46" s="23">
        <f>C46/B46</f>
        <v>0.15462767934580599</v>
      </c>
    </row>
    <row r="47" spans="1:4" s="10" customFormat="1" x14ac:dyDescent="0.25">
      <c r="A47" s="12" t="s">
        <v>39</v>
      </c>
      <c r="B47" s="12">
        <v>2.0522</v>
      </c>
      <c r="C47" s="12">
        <v>1.5529999999999999</v>
      </c>
      <c r="D47" s="11">
        <f>C47/B47</f>
        <v>0.75674885488743782</v>
      </c>
    </row>
    <row r="48" spans="1:4" s="10" customFormat="1" x14ac:dyDescent="0.25">
      <c r="A48" s="12" t="s">
        <v>38</v>
      </c>
      <c r="B48" s="12">
        <v>2.0562</v>
      </c>
      <c r="C48" s="12">
        <v>0.89400000000000002</v>
      </c>
      <c r="D48" s="11">
        <f>C48/B48</f>
        <v>0.43478260869565216</v>
      </c>
    </row>
    <row r="49" spans="1:4" s="10" customFormat="1" x14ac:dyDescent="0.25">
      <c r="A49" s="12" t="s">
        <v>37</v>
      </c>
      <c r="B49" s="12">
        <v>2.0876999999999999</v>
      </c>
      <c r="C49" s="12">
        <v>0.999</v>
      </c>
      <c r="D49" s="11">
        <f>C49/B49</f>
        <v>0.47851702830866505</v>
      </c>
    </row>
    <row r="50" spans="1:4" s="10" customFormat="1" x14ac:dyDescent="0.25">
      <c r="A50" s="12" t="s">
        <v>36</v>
      </c>
      <c r="B50" s="12">
        <v>2.0979999999999999</v>
      </c>
      <c r="C50" s="12">
        <v>0.85799999999999998</v>
      </c>
      <c r="D50" s="11">
        <f>C50/B50</f>
        <v>0.40896091515729266</v>
      </c>
    </row>
    <row r="51" spans="1:4" s="10" customFormat="1" x14ac:dyDescent="0.25">
      <c r="A51" s="12" t="s">
        <v>35</v>
      </c>
      <c r="B51" s="12">
        <v>2.0108000000000001</v>
      </c>
      <c r="C51" s="12">
        <v>0.61699999999999999</v>
      </c>
      <c r="D51" s="11">
        <f>C51/B51</f>
        <v>0.30684304754326636</v>
      </c>
    </row>
    <row r="52" spans="1:4" s="19" customFormat="1" x14ac:dyDescent="0.25">
      <c r="A52" s="21" t="s">
        <v>34</v>
      </c>
      <c r="B52" s="21">
        <v>2.0985999999999998</v>
      </c>
      <c r="C52" s="21">
        <v>1.7090000000000001</v>
      </c>
      <c r="D52" s="20">
        <f>C52/B52</f>
        <v>0.8143524254264749</v>
      </c>
    </row>
    <row r="53" spans="1:4" s="19" customFormat="1" x14ac:dyDescent="0.25">
      <c r="A53" s="21" t="s">
        <v>33</v>
      </c>
      <c r="B53" s="21">
        <v>2.0842000000000001</v>
      </c>
      <c r="C53" s="21">
        <v>1.708</v>
      </c>
      <c r="D53" s="20">
        <f>C53/B53</f>
        <v>0.81949908837923424</v>
      </c>
    </row>
    <row r="54" spans="1:4" s="19" customFormat="1" x14ac:dyDescent="0.25">
      <c r="A54" s="21" t="s">
        <v>32</v>
      </c>
      <c r="B54" s="21">
        <v>2.032</v>
      </c>
      <c r="C54" s="21">
        <v>1.772</v>
      </c>
      <c r="D54" s="20">
        <v>0.87204724409448797</v>
      </c>
    </row>
    <row r="55" spans="1:4" s="19" customFormat="1" x14ac:dyDescent="0.25">
      <c r="A55" s="21" t="s">
        <v>31</v>
      </c>
      <c r="B55" s="21">
        <v>2.0758000000000001</v>
      </c>
      <c r="C55" s="21">
        <v>1.6339999999999999</v>
      </c>
      <c r="D55" s="20">
        <f>C55/B55</f>
        <v>0.78716639367954511</v>
      </c>
    </row>
    <row r="56" spans="1:4" s="19" customFormat="1" x14ac:dyDescent="0.25">
      <c r="A56" s="21" t="s">
        <v>30</v>
      </c>
      <c r="B56" s="21">
        <v>2.0661</v>
      </c>
      <c r="C56" s="21">
        <v>1.649</v>
      </c>
      <c r="D56" s="20">
        <f>C56/B56</f>
        <v>0.7981220657276995</v>
      </c>
    </row>
    <row r="57" spans="1:4" s="16" customFormat="1" x14ac:dyDescent="0.25">
      <c r="A57" s="18" t="s">
        <v>29</v>
      </c>
      <c r="B57" s="18">
        <v>2.0546000000000002</v>
      </c>
      <c r="C57" s="18">
        <v>1.665</v>
      </c>
      <c r="D57" s="17">
        <f>C57/B57</f>
        <v>0.81037671566241598</v>
      </c>
    </row>
    <row r="58" spans="1:4" s="16" customFormat="1" x14ac:dyDescent="0.25">
      <c r="A58" s="18" t="s">
        <v>28</v>
      </c>
      <c r="B58" s="18">
        <v>2.0324</v>
      </c>
      <c r="C58" s="18">
        <v>1.095</v>
      </c>
      <c r="D58" s="17">
        <f>C58/B58</f>
        <v>0.53877189529620151</v>
      </c>
    </row>
    <row r="59" spans="1:4" s="16" customFormat="1" x14ac:dyDescent="0.25">
      <c r="A59" s="18" t="s">
        <v>27</v>
      </c>
      <c r="B59" s="18">
        <v>2.0041000000000002</v>
      </c>
      <c r="C59" s="18">
        <v>0.60199999999999998</v>
      </c>
      <c r="D59" s="17">
        <v>0.30038421236465201</v>
      </c>
    </row>
    <row r="60" spans="1:4" s="16" customFormat="1" x14ac:dyDescent="0.25">
      <c r="A60" s="18" t="s">
        <v>26</v>
      </c>
      <c r="B60" s="18">
        <v>2.0333999999999999</v>
      </c>
      <c r="C60" s="18">
        <v>0.52</v>
      </c>
      <c r="D60" s="17">
        <f>C60/B60</f>
        <v>0.2557293203501525</v>
      </c>
    </row>
    <row r="61" spans="1:4" s="16" customFormat="1" x14ac:dyDescent="0.25">
      <c r="A61" s="18" t="s">
        <v>25</v>
      </c>
      <c r="B61" s="18">
        <v>2.0863</v>
      </c>
      <c r="C61" s="18">
        <v>0.372</v>
      </c>
      <c r="D61" s="17">
        <f>C61/B61</f>
        <v>0.17830609212481427</v>
      </c>
    </row>
    <row r="62" spans="1:4" s="13" customFormat="1" x14ac:dyDescent="0.25">
      <c r="A62" s="15" t="s">
        <v>24</v>
      </c>
      <c r="B62" s="15">
        <v>2.0150999999999999</v>
      </c>
      <c r="C62" s="15">
        <v>1.024</v>
      </c>
      <c r="D62" s="14">
        <f>C62/B62</f>
        <v>0.50816336658230365</v>
      </c>
    </row>
    <row r="63" spans="1:4" s="13" customFormat="1" x14ac:dyDescent="0.25">
      <c r="A63" s="15" t="s">
        <v>23</v>
      </c>
      <c r="B63" s="15">
        <v>2.0324</v>
      </c>
      <c r="C63" s="15">
        <v>0.72199999999999998</v>
      </c>
      <c r="D63" s="14">
        <f>C63/B63</f>
        <v>0.35524503050580591</v>
      </c>
    </row>
    <row r="64" spans="1:4" s="13" customFormat="1" x14ac:dyDescent="0.25">
      <c r="A64" s="15" t="s">
        <v>22</v>
      </c>
      <c r="B64" s="15">
        <v>2.0697999999999999</v>
      </c>
      <c r="C64" s="15">
        <v>0.35199999999999998</v>
      </c>
      <c r="D64" s="14">
        <v>0.17006474055464299</v>
      </c>
    </row>
    <row r="65" spans="1:4" s="13" customFormat="1" x14ac:dyDescent="0.25">
      <c r="A65" s="15" t="s">
        <v>21</v>
      </c>
      <c r="B65" s="15">
        <v>2.0560999999999998</v>
      </c>
      <c r="C65" s="15">
        <v>0.40200000000000002</v>
      </c>
      <c r="D65" s="14">
        <f>C65/B65</f>
        <v>0.19551578230630809</v>
      </c>
    </row>
    <row r="66" spans="1:4" s="13" customFormat="1" x14ac:dyDescent="0.25">
      <c r="A66" s="15" t="s">
        <v>20</v>
      </c>
      <c r="B66" s="15">
        <v>2.08</v>
      </c>
      <c r="C66" s="15">
        <v>0.434</v>
      </c>
      <c r="D66" s="14">
        <f>C66/B66</f>
        <v>0.20865384615384613</v>
      </c>
    </row>
    <row r="67" spans="1:4" s="10" customFormat="1" x14ac:dyDescent="0.25">
      <c r="A67" s="12" t="s">
        <v>19</v>
      </c>
      <c r="B67" s="12">
        <v>2.0137</v>
      </c>
      <c r="C67" s="12">
        <v>1.3779999999999999</v>
      </c>
      <c r="D67" s="11">
        <f>C67/B67</f>
        <v>0.68431245965138787</v>
      </c>
    </row>
    <row r="68" spans="1:4" s="10" customFormat="1" x14ac:dyDescent="0.25">
      <c r="A68" s="12" t="s">
        <v>18</v>
      </c>
      <c r="B68" s="12">
        <v>2.0644999999999998</v>
      </c>
      <c r="C68" s="12">
        <v>0.85799999999999998</v>
      </c>
      <c r="D68" s="11">
        <f>C68/B68</f>
        <v>0.41559699685153795</v>
      </c>
    </row>
    <row r="69" spans="1:4" s="10" customFormat="1" x14ac:dyDescent="0.25">
      <c r="A69" s="12" t="s">
        <v>17</v>
      </c>
      <c r="B69" s="12">
        <v>2.0876999999999999</v>
      </c>
      <c r="C69" s="12">
        <v>0.999</v>
      </c>
      <c r="D69" s="11">
        <f>C69/B69</f>
        <v>0.47851702830866505</v>
      </c>
    </row>
    <row r="70" spans="1:4" s="10" customFormat="1" x14ac:dyDescent="0.25">
      <c r="A70" s="12" t="s">
        <v>16</v>
      </c>
      <c r="B70" s="12">
        <v>2.0647000000000002</v>
      </c>
      <c r="C70" s="12">
        <v>1.08</v>
      </c>
      <c r="D70" s="11">
        <f>C70/B70</f>
        <v>0.52307841332881289</v>
      </c>
    </row>
    <row r="71" spans="1:4" s="10" customFormat="1" x14ac:dyDescent="0.25">
      <c r="A71" s="12" t="s">
        <v>15</v>
      </c>
      <c r="B71" s="12">
        <v>2.0806</v>
      </c>
      <c r="C71" s="12">
        <v>0.70799999999999996</v>
      </c>
      <c r="D71" s="11">
        <f>C71/B71</f>
        <v>0.34028645583004902</v>
      </c>
    </row>
    <row r="72" spans="1:4" s="7" customFormat="1" x14ac:dyDescent="0.25">
      <c r="A72" s="9" t="s">
        <v>14</v>
      </c>
      <c r="B72" s="9">
        <v>2.0964999999999998</v>
      </c>
      <c r="C72" s="9">
        <v>1.2310000000000001</v>
      </c>
      <c r="D72" s="8">
        <f>C72/B72</f>
        <v>0.58716909134271411</v>
      </c>
    </row>
    <row r="73" spans="1:4" s="7" customFormat="1" x14ac:dyDescent="0.25">
      <c r="A73" s="9" t="s">
        <v>13</v>
      </c>
      <c r="B73" s="9">
        <v>2.0979000000000001</v>
      </c>
      <c r="C73" s="9">
        <v>1.7729999999999999</v>
      </c>
      <c r="D73" s="8">
        <f>C73/B73</f>
        <v>0.84513084513084502</v>
      </c>
    </row>
    <row r="74" spans="1:4" s="7" customFormat="1" x14ac:dyDescent="0.25">
      <c r="A74" s="9" t="s">
        <v>12</v>
      </c>
      <c r="B74" s="9">
        <v>2.032</v>
      </c>
      <c r="C74" s="9">
        <v>1.772</v>
      </c>
      <c r="D74" s="8">
        <v>0.87204724409448797</v>
      </c>
    </row>
    <row r="75" spans="1:4" s="7" customFormat="1" x14ac:dyDescent="0.25">
      <c r="A75" s="9" t="s">
        <v>11</v>
      </c>
      <c r="B75" s="9">
        <v>2.09</v>
      </c>
      <c r="C75" s="9">
        <v>1.774</v>
      </c>
      <c r="D75" s="8">
        <f>C75/B75</f>
        <v>0.84880382775119623</v>
      </c>
    </row>
    <row r="76" spans="1:4" s="7" customFormat="1" x14ac:dyDescent="0.25">
      <c r="A76" s="9" t="s">
        <v>10</v>
      </c>
      <c r="B76" s="9">
        <v>2.0749</v>
      </c>
      <c r="C76" s="9">
        <v>1.7310000000000001</v>
      </c>
      <c r="D76" s="8">
        <f>C76/B76</f>
        <v>0.83425707263000637</v>
      </c>
    </row>
    <row r="77" spans="1:4" s="4" customFormat="1" x14ac:dyDescent="0.25">
      <c r="A77" s="6" t="s">
        <v>9</v>
      </c>
      <c r="B77" s="6">
        <v>2.0112999999999999</v>
      </c>
      <c r="C77" s="6">
        <v>0.55500000000000005</v>
      </c>
      <c r="D77" s="5">
        <f>C77/B77</f>
        <v>0.27594093372445688</v>
      </c>
    </row>
    <row r="78" spans="1:4" s="4" customFormat="1" x14ac:dyDescent="0.25">
      <c r="A78" s="6" t="s">
        <v>8</v>
      </c>
      <c r="B78" s="6">
        <v>2.036</v>
      </c>
      <c r="C78" s="6">
        <v>0.44400000000000001</v>
      </c>
      <c r="D78" s="5">
        <f>C78/B78</f>
        <v>0.21807465618860511</v>
      </c>
    </row>
    <row r="79" spans="1:4" s="4" customFormat="1" x14ac:dyDescent="0.25">
      <c r="A79" s="6" t="s">
        <v>7</v>
      </c>
      <c r="B79" s="6">
        <v>2.0041000000000002</v>
      </c>
      <c r="C79" s="6">
        <v>0.60199999999999998</v>
      </c>
      <c r="D79" s="5">
        <v>0.30038421236465201</v>
      </c>
    </row>
    <row r="80" spans="1:4" s="4" customFormat="1" x14ac:dyDescent="0.25">
      <c r="A80" s="6" t="s">
        <v>6</v>
      </c>
      <c r="B80" s="6">
        <v>2.0947</v>
      </c>
      <c r="C80" s="6">
        <v>0.54300000000000004</v>
      </c>
      <c r="D80" s="5">
        <f>C80/B80</f>
        <v>0.25922566477299852</v>
      </c>
    </row>
    <row r="81" spans="1:4" s="4" customFormat="1" x14ac:dyDescent="0.25">
      <c r="A81" s="6" t="s">
        <v>5</v>
      </c>
      <c r="B81" s="6">
        <v>2.0905</v>
      </c>
      <c r="C81" s="6">
        <v>0.55200000000000005</v>
      </c>
      <c r="D81" s="5">
        <f>C81/B81</f>
        <v>0.26405166228175081</v>
      </c>
    </row>
    <row r="82" spans="1:4" s="1" customFormat="1" x14ac:dyDescent="0.25">
      <c r="A82" s="3" t="s">
        <v>4</v>
      </c>
      <c r="B82" s="3">
        <v>2.0301</v>
      </c>
      <c r="C82" s="3">
        <v>0.72299999999999998</v>
      </c>
      <c r="D82" s="2">
        <f>C82/B82</f>
        <v>0.35614009162110238</v>
      </c>
    </row>
    <row r="83" spans="1:4" s="1" customFormat="1" x14ac:dyDescent="0.25">
      <c r="A83" s="3" t="s">
        <v>3</v>
      </c>
      <c r="B83" s="3">
        <v>1.9890000000000001</v>
      </c>
      <c r="C83" s="3">
        <v>0.504</v>
      </c>
      <c r="D83" s="2">
        <f>C83/B83</f>
        <v>0.25339366515837103</v>
      </c>
    </row>
    <row r="84" spans="1:4" s="1" customFormat="1" x14ac:dyDescent="0.25">
      <c r="A84" s="3" t="s">
        <v>2</v>
      </c>
      <c r="B84" s="3">
        <v>2.0697999999999999</v>
      </c>
      <c r="C84" s="3">
        <v>0.35199999999999998</v>
      </c>
      <c r="D84" s="2">
        <v>0.17006474055464299</v>
      </c>
    </row>
    <row r="85" spans="1:4" s="1" customFormat="1" x14ac:dyDescent="0.25">
      <c r="A85" s="3" t="s">
        <v>1</v>
      </c>
      <c r="B85" s="3">
        <v>1.9903999999999999</v>
      </c>
      <c r="C85" s="3">
        <v>0.59499999999999997</v>
      </c>
      <c r="D85" s="2">
        <f>C85/B85</f>
        <v>0.29893488745980706</v>
      </c>
    </row>
    <row r="86" spans="1:4" s="1" customFormat="1" x14ac:dyDescent="0.25">
      <c r="A86" s="3" t="s">
        <v>0</v>
      </c>
      <c r="B86" s="3">
        <v>1.8688</v>
      </c>
      <c r="C86" s="3">
        <v>0.61799999999999999</v>
      </c>
      <c r="D86" s="2">
        <f>C86/B86</f>
        <v>0.33069349315068491</v>
      </c>
    </row>
  </sheetData>
  <mergeCells count="1">
    <mergeCell ref="A1:E1"/>
  </mergeCells>
  <phoneticPr fontId="2" type="noConversion"/>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CB2EB3741C2EF4695B04BD1F7350325" ma:contentTypeVersion="14" ma:contentTypeDescription="Create a new document." ma:contentTypeScope="" ma:versionID="402ba54198fe416ef7063e0893b0609d">
  <xsd:schema xmlns:xsd="http://www.w3.org/2001/XMLSchema" xmlns:xs="http://www.w3.org/2001/XMLSchema" xmlns:p="http://schemas.microsoft.com/office/2006/metadata/properties" xmlns:ns3="9cc15066-1d6f-4e03-ba94-ef542d393527" targetNamespace="http://schemas.microsoft.com/office/2006/metadata/properties" ma:root="true" ma:fieldsID="a983550a8ede10fbe3088e8cf1de0b78" ns3:_="">
    <xsd:import namespace="9cc15066-1d6f-4e03-ba94-ef542d393527"/>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ServiceOCR" minOccurs="0"/>
                <xsd:element ref="ns3:MediaServiceGenerationTime" minOccurs="0"/>
                <xsd:element ref="ns3:MediaServiceEventHashCode" minOccurs="0"/>
                <xsd:element ref="ns3:MediaServiceAutoKeyPoints" minOccurs="0"/>
                <xsd:element ref="ns3:MediaServiceKeyPoints" minOccurs="0"/>
                <xsd:element ref="ns3:MediaServiceSearchProperties" minOccurs="0"/>
                <xsd:element ref="ns3:_activity" minOccurs="0"/>
                <xsd:element ref="ns3:MediaServiceDateTaken" minOccurs="0"/>
                <xsd:element ref="ns3:MediaServiceObjectDetectorVersions" minOccurs="0"/>
                <xsd:element ref="ns3:MediaLengthInSeconds" minOccurs="0"/>
                <xsd:element ref="ns3: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cc15066-1d6f-4e03-ba94-ef542d39352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SearchProperties" ma:index="16" nillable="true" ma:displayName="MediaServiceSearchProperties" ma:hidden="true" ma:internalName="MediaServiceSearchProperties" ma:readOnly="true">
      <xsd:simpleType>
        <xsd:restriction base="dms:Note"/>
      </xsd:simpleType>
    </xsd:element>
    <xsd:element name="_activity" ma:index="17" nillable="true" ma:displayName="_activity" ma:hidden="true" ma:internalName="_activity">
      <xsd:simpleType>
        <xsd:restriction base="dms:Note"/>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MediaServiceSystemTags" ma:index="21" nillable="true" ma:displayName="MediaServiceSystemTags" ma:hidden="true" ma:internalName="MediaServiceSystemTag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9cc15066-1d6f-4e03-ba94-ef542d393527" xsi:nil="true"/>
  </documentManagement>
</p:properties>
</file>

<file path=customXml/itemProps1.xml><?xml version="1.0" encoding="utf-8"?>
<ds:datastoreItem xmlns:ds="http://schemas.openxmlformats.org/officeDocument/2006/customXml" ds:itemID="{CF6BDF14-AD7A-4E71-B61F-4ACF7D5B52A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cc15066-1d6f-4e03-ba94-ef542d39352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5DB418BB-FED6-4A9C-8E02-86BC64E0E501}">
  <ds:schemaRefs>
    <ds:schemaRef ds:uri="http://schemas.microsoft.com/sharepoint/v3/contenttype/forms"/>
  </ds:schemaRefs>
</ds:datastoreItem>
</file>

<file path=customXml/itemProps3.xml><?xml version="1.0" encoding="utf-8"?>
<ds:datastoreItem xmlns:ds="http://schemas.openxmlformats.org/officeDocument/2006/customXml" ds:itemID="{C2B56461-38A1-42E5-84CF-BA4189C1D80E}">
  <ds:schemaRefs>
    <ds:schemaRef ds:uri="http://purl.org/dc/elements/1.1/"/>
    <ds:schemaRef ds:uri="http://www.w3.org/XML/1998/namespace"/>
    <ds:schemaRef ds:uri="http://schemas.openxmlformats.org/package/2006/metadata/core-properties"/>
    <ds:schemaRef ds:uri="http://schemas.microsoft.com/office/2006/metadata/properties"/>
    <ds:schemaRef ds:uri="http://purl.org/dc/terms/"/>
    <ds:schemaRef ds:uri="http://schemas.microsoft.com/office/2006/documentManagement/types"/>
    <ds:schemaRef ds:uri="9cc15066-1d6f-4e03-ba94-ef542d393527"/>
    <ds:schemaRef ds:uri="http://schemas.microsoft.com/office/infopath/2007/PartnerControls"/>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Extraction rate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ZHANG Xinyue</dc:creator>
  <cp:lastModifiedBy>ZHANG Xinyue</cp:lastModifiedBy>
  <dcterms:created xsi:type="dcterms:W3CDTF">2026-02-01T15:18:08Z</dcterms:created>
  <dcterms:modified xsi:type="dcterms:W3CDTF">2026-02-01T15:21:01Z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0x0101005CB2EB3741C2EF4695B04BD1F7350325</vt:lpwstr>
  </property>
</Properties>
</file>