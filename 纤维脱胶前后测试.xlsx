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工作\菠萝叶本身制取\"/>
    </mc:Choice>
  </mc:AlternateContent>
  <xr:revisionPtr revIDLastSave="0" documentId="8_{CA2489F5-0991-418B-8C53-4B4268EA984D}" xr6:coauthVersionLast="47" xr6:coauthVersionMax="47" xr10:uidLastSave="{00000000-0000-0000-0000-000000000000}"/>
  <bookViews>
    <workbookView xWindow="-108" yWindow="-108" windowWidth="24792" windowHeight="13320" xr2:uid="{016E99D2-FFB8-4BB1-B7D7-EBD98510AA28}"/>
  </bookViews>
  <sheets>
    <sheet name="纤维脱胶前后测试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E4" i="1"/>
  <c r="I4" i="1"/>
  <c r="J4" i="1"/>
  <c r="N4" i="1"/>
  <c r="O4" i="1"/>
  <c r="P4" i="1"/>
  <c r="R4" i="1" s="1"/>
  <c r="Q4" i="1"/>
  <c r="D5" i="1"/>
  <c r="E5" i="1"/>
  <c r="I5" i="1"/>
  <c r="J5" i="1"/>
  <c r="N5" i="1"/>
  <c r="O5" i="1"/>
  <c r="P5" i="1"/>
  <c r="R5" i="1" s="1"/>
  <c r="Q5" i="1"/>
  <c r="D6" i="1"/>
  <c r="E6" i="1"/>
  <c r="I6" i="1"/>
  <c r="J6" i="1"/>
  <c r="N6" i="1"/>
  <c r="O6" i="1"/>
  <c r="P6" i="1" s="1"/>
  <c r="R6" i="1" s="1"/>
  <c r="Q6" i="1"/>
  <c r="D7" i="1"/>
  <c r="E7" i="1"/>
  <c r="I7" i="1"/>
  <c r="J7" i="1"/>
  <c r="N7" i="1"/>
  <c r="O7" i="1" s="1"/>
  <c r="P7" i="1" s="1"/>
  <c r="R7" i="1" s="1"/>
  <c r="Q7" i="1"/>
  <c r="D8" i="1"/>
  <c r="E8" i="1"/>
  <c r="I8" i="1"/>
  <c r="J8" i="1"/>
  <c r="P8" i="1" s="1"/>
  <c r="R8" i="1" s="1"/>
  <c r="N8" i="1"/>
  <c r="O8" i="1"/>
  <c r="Q8" i="1"/>
  <c r="D9" i="1"/>
  <c r="E9" i="1"/>
  <c r="I9" i="1"/>
  <c r="J9" i="1" s="1"/>
  <c r="P9" i="1" s="1"/>
  <c r="R9" i="1" s="1"/>
  <c r="N9" i="1"/>
  <c r="O9" i="1"/>
  <c r="Q9" i="1"/>
  <c r="D10" i="1"/>
  <c r="E10" i="1"/>
  <c r="P10" i="1" s="1"/>
  <c r="R10" i="1" s="1"/>
  <c r="I10" i="1"/>
  <c r="J10" i="1"/>
  <c r="N10" i="1"/>
  <c r="O10" i="1"/>
  <c r="Q10" i="1"/>
  <c r="D11" i="1"/>
  <c r="E11" i="1" s="1"/>
  <c r="P11" i="1" s="1"/>
  <c r="R11" i="1" s="1"/>
  <c r="I11" i="1"/>
  <c r="J11" i="1"/>
  <c r="N11" i="1"/>
  <c r="O11" i="1"/>
  <c r="Q11" i="1"/>
  <c r="D12" i="1"/>
  <c r="E12" i="1"/>
  <c r="I12" i="1"/>
  <c r="J12" i="1"/>
  <c r="N12" i="1"/>
  <c r="O12" i="1"/>
  <c r="P12" i="1"/>
  <c r="R12" i="1" s="1"/>
  <c r="Q12" i="1"/>
  <c r="D13" i="1"/>
  <c r="E13" i="1"/>
  <c r="I13" i="1"/>
  <c r="J13" i="1"/>
  <c r="N13" i="1"/>
  <c r="O13" i="1"/>
  <c r="P13" i="1"/>
  <c r="R13" i="1" s="1"/>
  <c r="Q13" i="1"/>
  <c r="D14" i="1"/>
  <c r="E14" i="1"/>
  <c r="I14" i="1"/>
  <c r="J14" i="1"/>
  <c r="N14" i="1"/>
  <c r="O14" i="1"/>
  <c r="P14" i="1" s="1"/>
  <c r="R14" i="1" s="1"/>
  <c r="Q14" i="1"/>
  <c r="D15" i="1"/>
  <c r="E15" i="1"/>
  <c r="I15" i="1"/>
  <c r="J15" i="1"/>
  <c r="N15" i="1"/>
  <c r="O15" i="1" s="1"/>
  <c r="P15" i="1" s="1"/>
  <c r="R15" i="1" s="1"/>
  <c r="Q15" i="1"/>
  <c r="D16" i="1"/>
  <c r="E16" i="1"/>
  <c r="I16" i="1"/>
  <c r="J16" i="1"/>
  <c r="P16" i="1" s="1"/>
  <c r="R16" i="1" s="1"/>
  <c r="N16" i="1"/>
  <c r="O16" i="1"/>
  <c r="Q16" i="1"/>
  <c r="D17" i="1"/>
  <c r="E17" i="1"/>
  <c r="I17" i="1"/>
  <c r="J17" i="1" s="1"/>
  <c r="P17" i="1" s="1"/>
  <c r="R17" i="1" s="1"/>
  <c r="N17" i="1"/>
  <c r="O17" i="1"/>
  <c r="Q17" i="1"/>
  <c r="D18" i="1"/>
  <c r="E18" i="1"/>
  <c r="P18" i="1" s="1"/>
  <c r="R18" i="1" s="1"/>
  <c r="I18" i="1"/>
  <c r="J18" i="1"/>
  <c r="N18" i="1"/>
  <c r="O18" i="1"/>
  <c r="Q18" i="1"/>
  <c r="D23" i="1"/>
  <c r="E23" i="1" s="1"/>
  <c r="P23" i="1" s="1"/>
  <c r="R23" i="1" s="1"/>
  <c r="I23" i="1"/>
  <c r="J23" i="1"/>
  <c r="N23" i="1"/>
  <c r="O23" i="1"/>
  <c r="Q23" i="1"/>
  <c r="D24" i="1"/>
  <c r="E24" i="1"/>
  <c r="I24" i="1"/>
  <c r="J24" i="1"/>
  <c r="N24" i="1"/>
  <c r="O24" i="1"/>
  <c r="P24" i="1"/>
  <c r="R24" i="1" s="1"/>
  <c r="Q24" i="1"/>
  <c r="D25" i="1"/>
  <c r="E25" i="1"/>
  <c r="I25" i="1"/>
  <c r="J25" i="1"/>
  <c r="N25" i="1"/>
  <c r="O25" i="1"/>
  <c r="P25" i="1"/>
  <c r="R25" i="1" s="1"/>
  <c r="Q25" i="1"/>
  <c r="D26" i="1"/>
  <c r="E26" i="1"/>
  <c r="I26" i="1"/>
  <c r="J26" i="1"/>
  <c r="N26" i="1"/>
  <c r="O26" i="1"/>
  <c r="P26" i="1" s="1"/>
  <c r="R26" i="1" s="1"/>
  <c r="Q26" i="1"/>
  <c r="D27" i="1"/>
  <c r="E27" i="1"/>
  <c r="I27" i="1"/>
  <c r="J27" i="1"/>
  <c r="N27" i="1"/>
  <c r="O27" i="1" s="1"/>
  <c r="P27" i="1" s="1"/>
  <c r="R27" i="1" s="1"/>
  <c r="Q27" i="1"/>
  <c r="D28" i="1"/>
  <c r="E28" i="1"/>
  <c r="I28" i="1"/>
  <c r="J28" i="1"/>
  <c r="P28" i="1" s="1"/>
  <c r="R28" i="1" s="1"/>
  <c r="N28" i="1"/>
  <c r="O28" i="1"/>
  <c r="Q28" i="1"/>
  <c r="D29" i="1"/>
  <c r="E29" i="1"/>
  <c r="I29" i="1"/>
  <c r="J29" i="1" s="1"/>
  <c r="P29" i="1" s="1"/>
  <c r="R29" i="1" s="1"/>
  <c r="N29" i="1"/>
  <c r="O29" i="1"/>
  <c r="Q29" i="1"/>
  <c r="D30" i="1"/>
  <c r="E30" i="1"/>
  <c r="P30" i="1" s="1"/>
  <c r="R30" i="1" s="1"/>
  <c r="I30" i="1"/>
  <c r="J30" i="1"/>
  <c r="N30" i="1"/>
  <c r="O30" i="1"/>
  <c r="Q30" i="1"/>
  <c r="D31" i="1"/>
  <c r="E31" i="1" s="1"/>
  <c r="P31" i="1" s="1"/>
  <c r="R31" i="1" s="1"/>
  <c r="I31" i="1"/>
  <c r="J31" i="1"/>
  <c r="N31" i="1"/>
  <c r="O31" i="1"/>
  <c r="Q31" i="1"/>
  <c r="D32" i="1"/>
  <c r="E32" i="1"/>
  <c r="I32" i="1"/>
  <c r="J32" i="1"/>
  <c r="N32" i="1"/>
  <c r="O32" i="1"/>
  <c r="P32" i="1"/>
  <c r="R32" i="1" s="1"/>
  <c r="Q32" i="1"/>
  <c r="D33" i="1"/>
  <c r="E33" i="1"/>
  <c r="I33" i="1"/>
  <c r="J33" i="1"/>
  <c r="N33" i="1"/>
  <c r="O33" i="1"/>
  <c r="P33" i="1"/>
  <c r="R33" i="1" s="1"/>
  <c r="Q33" i="1"/>
  <c r="D34" i="1"/>
  <c r="E34" i="1"/>
  <c r="I34" i="1"/>
  <c r="J34" i="1"/>
  <c r="N34" i="1"/>
  <c r="O34" i="1"/>
  <c r="P34" i="1" s="1"/>
  <c r="R34" i="1" s="1"/>
  <c r="Q34" i="1"/>
  <c r="D35" i="1"/>
  <c r="E35" i="1"/>
  <c r="I35" i="1"/>
  <c r="J35" i="1"/>
  <c r="N35" i="1"/>
  <c r="O35" i="1" s="1"/>
  <c r="P35" i="1" s="1"/>
  <c r="R35" i="1" s="1"/>
  <c r="Q35" i="1"/>
  <c r="D36" i="1"/>
  <c r="E36" i="1"/>
  <c r="I36" i="1"/>
  <c r="J36" i="1"/>
  <c r="P36" i="1" s="1"/>
  <c r="R36" i="1" s="1"/>
  <c r="N36" i="1"/>
  <c r="O36" i="1"/>
  <c r="Q36" i="1"/>
  <c r="D37" i="1"/>
  <c r="E37" i="1"/>
  <c r="I37" i="1"/>
  <c r="J37" i="1" s="1"/>
  <c r="P37" i="1" s="1"/>
  <c r="R37" i="1" s="1"/>
  <c r="N37" i="1"/>
  <c r="O37" i="1"/>
  <c r="Q37" i="1"/>
  <c r="D43" i="1"/>
  <c r="E43" i="1"/>
  <c r="P43" i="1" s="1"/>
  <c r="R43" i="1" s="1"/>
  <c r="I43" i="1"/>
  <c r="J43" i="1"/>
  <c r="N43" i="1"/>
  <c r="O43" i="1"/>
  <c r="Q43" i="1"/>
  <c r="D44" i="1"/>
  <c r="E44" i="1" s="1"/>
  <c r="P44" i="1" s="1"/>
  <c r="R44" i="1" s="1"/>
  <c r="I44" i="1"/>
  <c r="J44" i="1"/>
  <c r="N44" i="1"/>
  <c r="O44" i="1"/>
  <c r="Q44" i="1"/>
  <c r="D45" i="1"/>
  <c r="E45" i="1"/>
  <c r="I45" i="1"/>
  <c r="J45" i="1"/>
  <c r="N45" i="1"/>
  <c r="O45" i="1"/>
  <c r="P45" i="1"/>
  <c r="R45" i="1" s="1"/>
  <c r="Q45" i="1"/>
  <c r="D46" i="1"/>
  <c r="E46" i="1"/>
  <c r="I46" i="1"/>
  <c r="J46" i="1"/>
  <c r="N46" i="1"/>
  <c r="O46" i="1"/>
  <c r="P46" i="1"/>
  <c r="R46" i="1" s="1"/>
  <c r="Q46" i="1"/>
  <c r="D47" i="1"/>
  <c r="E47" i="1"/>
  <c r="P47" i="1" s="1"/>
  <c r="R47" i="1" s="1"/>
  <c r="I47" i="1"/>
  <c r="J47" i="1"/>
  <c r="N47" i="1"/>
  <c r="O47" i="1"/>
  <c r="Q47" i="1"/>
  <c r="D48" i="1"/>
  <c r="E48" i="1"/>
  <c r="I48" i="1"/>
  <c r="J48" i="1"/>
  <c r="N48" i="1"/>
  <c r="O48" i="1" s="1"/>
  <c r="Q48" i="1"/>
  <c r="D49" i="1"/>
  <c r="E49" i="1"/>
  <c r="P49" i="1" s="1"/>
  <c r="R49" i="1" s="1"/>
  <c r="I49" i="1"/>
  <c r="J49" i="1"/>
  <c r="N49" i="1"/>
  <c r="O49" i="1"/>
  <c r="Q49" i="1"/>
  <c r="D50" i="1"/>
  <c r="E50" i="1"/>
  <c r="I50" i="1"/>
  <c r="J50" i="1" s="1"/>
  <c r="N50" i="1"/>
  <c r="O50" i="1"/>
  <c r="Q50" i="1"/>
  <c r="D51" i="1"/>
  <c r="E51" i="1"/>
  <c r="P51" i="1" s="1"/>
  <c r="R51" i="1" s="1"/>
  <c r="I51" i="1"/>
  <c r="J51" i="1"/>
  <c r="N51" i="1"/>
  <c r="O51" i="1"/>
  <c r="Q51" i="1"/>
  <c r="D52" i="1"/>
  <c r="E52" i="1" s="1"/>
  <c r="P52" i="1" s="1"/>
  <c r="R52" i="1" s="1"/>
  <c r="I52" i="1"/>
  <c r="J52" i="1"/>
  <c r="N52" i="1"/>
  <c r="O52" i="1"/>
  <c r="Q52" i="1"/>
  <c r="D53" i="1"/>
  <c r="E53" i="1"/>
  <c r="I53" i="1"/>
  <c r="J53" i="1"/>
  <c r="N53" i="1"/>
  <c r="O53" i="1"/>
  <c r="P53" i="1"/>
  <c r="R53" i="1" s="1"/>
  <c r="Q53" i="1"/>
  <c r="D54" i="1"/>
  <c r="E54" i="1"/>
  <c r="I54" i="1"/>
  <c r="J54" i="1"/>
  <c r="N54" i="1"/>
  <c r="O54" i="1"/>
  <c r="P54" i="1"/>
  <c r="R54" i="1" s="1"/>
  <c r="Q54" i="1"/>
  <c r="D55" i="1"/>
  <c r="E55" i="1"/>
  <c r="P55" i="1" s="1"/>
  <c r="R55" i="1" s="1"/>
  <c r="I55" i="1"/>
  <c r="J55" i="1"/>
  <c r="N55" i="1"/>
  <c r="O55" i="1"/>
  <c r="Q55" i="1"/>
  <c r="D56" i="1"/>
  <c r="E56" i="1"/>
  <c r="I56" i="1"/>
  <c r="J56" i="1"/>
  <c r="N56" i="1"/>
  <c r="O56" i="1" s="1"/>
  <c r="Q56" i="1"/>
  <c r="D57" i="1"/>
  <c r="E57" i="1"/>
  <c r="P57" i="1" s="1"/>
  <c r="R57" i="1" s="1"/>
  <c r="I57" i="1"/>
  <c r="J57" i="1"/>
  <c r="N57" i="1"/>
  <c r="O57" i="1"/>
  <c r="Q57" i="1"/>
  <c r="D62" i="1"/>
  <c r="E62" i="1"/>
  <c r="I62" i="1"/>
  <c r="J62" i="1" s="1"/>
  <c r="N62" i="1"/>
  <c r="O62" i="1"/>
  <c r="D63" i="1"/>
  <c r="E63" i="1"/>
  <c r="I63" i="1"/>
  <c r="J63" i="1"/>
  <c r="N63" i="1"/>
  <c r="O63" i="1" s="1"/>
  <c r="D64" i="1"/>
  <c r="E64" i="1"/>
  <c r="I64" i="1"/>
  <c r="J64" i="1"/>
  <c r="N64" i="1"/>
  <c r="O64" i="1"/>
  <c r="D65" i="1"/>
  <c r="E65" i="1" s="1"/>
  <c r="I65" i="1"/>
  <c r="J65" i="1"/>
  <c r="N65" i="1"/>
  <c r="O65" i="1"/>
  <c r="D66" i="1"/>
  <c r="E66" i="1"/>
  <c r="I66" i="1"/>
  <c r="J66" i="1" s="1"/>
  <c r="N66" i="1"/>
  <c r="O66" i="1"/>
  <c r="D67" i="1"/>
  <c r="E67" i="1"/>
  <c r="I67" i="1"/>
  <c r="J67" i="1"/>
  <c r="N67" i="1"/>
  <c r="O67" i="1" s="1"/>
  <c r="D68" i="1"/>
  <c r="E68" i="1"/>
  <c r="I68" i="1"/>
  <c r="J68" i="1"/>
  <c r="N68" i="1"/>
  <c r="O68" i="1"/>
  <c r="D69" i="1"/>
  <c r="E69" i="1" s="1"/>
  <c r="I69" i="1"/>
  <c r="J69" i="1"/>
  <c r="N69" i="1"/>
  <c r="O69" i="1"/>
  <c r="D70" i="1"/>
  <c r="E70" i="1"/>
  <c r="I70" i="1"/>
  <c r="J70" i="1" s="1"/>
  <c r="N70" i="1"/>
  <c r="O70" i="1"/>
  <c r="D71" i="1"/>
  <c r="E71" i="1"/>
  <c r="I71" i="1"/>
  <c r="J71" i="1"/>
  <c r="N71" i="1"/>
  <c r="O71" i="1" s="1"/>
  <c r="D72" i="1"/>
  <c r="E72" i="1"/>
  <c r="I72" i="1"/>
  <c r="J72" i="1"/>
  <c r="N72" i="1"/>
  <c r="O72" i="1"/>
  <c r="D73" i="1"/>
  <c r="E73" i="1" s="1"/>
  <c r="I73" i="1"/>
  <c r="J73" i="1"/>
  <c r="N73" i="1"/>
  <c r="O73" i="1"/>
  <c r="D74" i="1"/>
  <c r="E74" i="1"/>
  <c r="I74" i="1"/>
  <c r="J74" i="1" s="1"/>
  <c r="N74" i="1"/>
  <c r="O74" i="1"/>
  <c r="D75" i="1"/>
  <c r="E75" i="1"/>
  <c r="I75" i="1"/>
  <c r="J75" i="1"/>
  <c r="N75" i="1"/>
  <c r="O75" i="1" s="1"/>
  <c r="D76" i="1"/>
  <c r="E76" i="1"/>
  <c r="I76" i="1"/>
  <c r="J76" i="1"/>
  <c r="N76" i="1"/>
  <c r="O76" i="1"/>
  <c r="P48" i="1" l="1"/>
  <c r="R48" i="1" s="1"/>
  <c r="P56" i="1"/>
  <c r="R56" i="1" s="1"/>
  <c r="P50" i="1"/>
  <c r="R50" i="1" s="1"/>
</calcChain>
</file>

<file path=xl/sharedStrings.xml><?xml version="1.0" encoding="utf-8"?>
<sst xmlns="http://schemas.openxmlformats.org/spreadsheetml/2006/main" count="92" uniqueCount="53">
  <si>
    <t>L（mm）</t>
  </si>
  <si>
    <t>ΣWi</t>
  </si>
  <si>
    <t>Σ（Wi*Li）</t>
  </si>
  <si>
    <t>W6*L6</t>
  </si>
  <si>
    <t>L6</t>
  </si>
  <si>
    <t>Lmax6</t>
  </si>
  <si>
    <t>Lmix6</t>
  </si>
  <si>
    <t>W6（mg）</t>
  </si>
  <si>
    <t>W5*L5</t>
  </si>
  <si>
    <t>L5</t>
  </si>
  <si>
    <t>Lmax5</t>
  </si>
  <si>
    <t>Lmix5</t>
  </si>
  <si>
    <t>W5（mg）</t>
  </si>
  <si>
    <t>W4*L4</t>
  </si>
  <si>
    <t>L4</t>
  </si>
  <si>
    <t>Lmax4</t>
  </si>
  <si>
    <t>Lmix4</t>
  </si>
  <si>
    <t>W4（mg）</t>
  </si>
  <si>
    <t>重要数据</t>
  </si>
  <si>
    <t>组六76-95mm</t>
  </si>
  <si>
    <t>组五56-75mm</t>
  </si>
  <si>
    <t>组四46-55mm</t>
  </si>
  <si>
    <t>乱纤维脱胶后</t>
    <phoneticPr fontId="2" type="noConversion"/>
  </si>
  <si>
    <t>L（mm）</t>
    <phoneticPr fontId="2" type="noConversion"/>
  </si>
  <si>
    <t>W3*L3</t>
  </si>
  <si>
    <t>L3</t>
  </si>
  <si>
    <t>Lmax3</t>
  </si>
  <si>
    <t>Lmix3</t>
  </si>
  <si>
    <t>W3（mg）</t>
  </si>
  <si>
    <t>W2*L2</t>
  </si>
  <si>
    <t>L2</t>
  </si>
  <si>
    <t>Lmax2</t>
  </si>
  <si>
    <t>Lmix2</t>
  </si>
  <si>
    <t>W2（mg）</t>
  </si>
  <si>
    <t>W1*L1</t>
  </si>
  <si>
    <t>L1</t>
  </si>
  <si>
    <t>Lmax1</t>
  </si>
  <si>
    <t>Lmix1</t>
  </si>
  <si>
    <t>W1（mg）</t>
  </si>
  <si>
    <t>数据</t>
  </si>
  <si>
    <t>组三mm</t>
  </si>
  <si>
    <t>组二mm</t>
  </si>
  <si>
    <t>组一mm</t>
  </si>
  <si>
    <t>乱纤维脱胶前</t>
    <phoneticPr fontId="2" type="noConversion"/>
  </si>
  <si>
    <t>L(cm)</t>
    <phoneticPr fontId="2" type="noConversion"/>
  </si>
  <si>
    <t>W3</t>
  </si>
  <si>
    <t>W2</t>
  </si>
  <si>
    <t>W1</t>
  </si>
  <si>
    <t>组三</t>
  </si>
  <si>
    <t>组二</t>
  </si>
  <si>
    <t>组一</t>
  </si>
  <si>
    <t>长纤维脱胶后</t>
    <phoneticPr fontId="2" type="noConversion"/>
  </si>
  <si>
    <t>长纤维脱胶前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</si>
</sst>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5" x14ac:knownFonts="1"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5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0" borderId="1" xfId="0" applyBorder="1">
      <alignment vertical="center"/>
    </xf>
    <xf numFmtId="0" fontId="4" fillId="6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4" fillId="4" borderId="1" xfId="0" applyFont="1" applyFill="1" applyBorder="1">
      <alignment vertical="center"/>
    </xf>
    <xf numFmtId="0" fontId="4" fillId="5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6" fontId="3" fillId="5" borderId="1" xfId="0" applyNumberFormat="1" applyFont="1" applyFill="1" applyBorder="1">
      <alignment vertic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76" fontId="0" fillId="5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9B6B-0F5E-4F43-BAAE-8360F0521A41}">
  <dimension ref="A1:R76"/>
  <sheetViews>
    <sheetView tabSelected="1" workbookViewId="0">
      <selection activeCell="M9" sqref="M9"/>
    </sheetView>
  </sheetViews>
  <sheetFormatPr defaultRowHeight="14.4" x14ac:dyDescent="0.25"/>
  <sheetData>
    <row r="1" spans="1:18" x14ac:dyDescent="0.25">
      <c r="A1" s="28" t="s">
        <v>52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x14ac:dyDescent="0.25">
      <c r="A2" s="25" t="s">
        <v>50</v>
      </c>
      <c r="B2" s="24"/>
      <c r="C2" s="24"/>
      <c r="D2" s="24"/>
      <c r="E2" s="23"/>
      <c r="F2" s="25" t="s">
        <v>49</v>
      </c>
      <c r="G2" s="24"/>
      <c r="H2" s="24"/>
      <c r="I2" s="24"/>
      <c r="J2" s="23"/>
      <c r="K2" s="14" t="s">
        <v>48</v>
      </c>
      <c r="L2" s="14"/>
      <c r="M2" s="14"/>
      <c r="N2" s="14"/>
      <c r="O2" s="13"/>
      <c r="P2" s="12" t="s">
        <v>39</v>
      </c>
      <c r="Q2" s="12"/>
      <c r="R2" s="12"/>
    </row>
    <row r="3" spans="1:18" x14ac:dyDescent="0.25">
      <c r="A3" s="10" t="s">
        <v>47</v>
      </c>
      <c r="B3" s="11" t="s">
        <v>37</v>
      </c>
      <c r="C3" s="11" t="s">
        <v>36</v>
      </c>
      <c r="D3" s="10" t="s">
        <v>35</v>
      </c>
      <c r="E3" s="9" t="s">
        <v>34</v>
      </c>
      <c r="F3" s="10" t="s">
        <v>46</v>
      </c>
      <c r="G3" s="11" t="s">
        <v>32</v>
      </c>
      <c r="H3" s="11" t="s">
        <v>31</v>
      </c>
      <c r="I3" s="10" t="s">
        <v>30</v>
      </c>
      <c r="J3" s="9" t="s">
        <v>29</v>
      </c>
      <c r="K3" s="10" t="s">
        <v>45</v>
      </c>
      <c r="L3" s="11" t="s">
        <v>27</v>
      </c>
      <c r="M3" s="11" t="s">
        <v>26</v>
      </c>
      <c r="N3" s="10" t="s">
        <v>25</v>
      </c>
      <c r="O3" s="9" t="s">
        <v>24</v>
      </c>
      <c r="P3" s="8" t="s">
        <v>2</v>
      </c>
      <c r="Q3" s="8" t="s">
        <v>1</v>
      </c>
      <c r="R3" s="22" t="s">
        <v>44</v>
      </c>
    </row>
    <row r="4" spans="1:18" x14ac:dyDescent="0.25">
      <c r="A4" s="10">
        <v>0.377</v>
      </c>
      <c r="B4" s="11">
        <v>54.2</v>
      </c>
      <c r="C4" s="11">
        <v>60.5</v>
      </c>
      <c r="D4" s="10">
        <f>(B4+C4)/2</f>
        <v>57.35</v>
      </c>
      <c r="E4" s="9">
        <f>D4*A4</f>
        <v>21.620950000000001</v>
      </c>
      <c r="F4" s="10">
        <v>1.1579999999999999</v>
      </c>
      <c r="G4" s="11">
        <v>71.5</v>
      </c>
      <c r="H4" s="11">
        <v>95.6</v>
      </c>
      <c r="I4" s="10">
        <f>(H4+G4)/2</f>
        <v>83.55</v>
      </c>
      <c r="J4" s="9">
        <f>I4*F4</f>
        <v>96.750899999999987</v>
      </c>
      <c r="K4" s="10">
        <v>1.4690000000000001</v>
      </c>
      <c r="L4" s="11">
        <v>55.3</v>
      </c>
      <c r="M4" s="11">
        <v>88.7</v>
      </c>
      <c r="N4" s="10">
        <f>(M4+L4)/2</f>
        <v>72</v>
      </c>
      <c r="O4" s="9">
        <f>N4*K4</f>
        <v>105.768</v>
      </c>
      <c r="P4" s="8">
        <f>SUM(O4,J4,E4)</f>
        <v>224.13984999999997</v>
      </c>
      <c r="Q4" s="8">
        <f>SUM(A4,F4,K4)</f>
        <v>3.004</v>
      </c>
      <c r="R4" s="7">
        <f>P4/Q4</f>
        <v>74.613798268974691</v>
      </c>
    </row>
    <row r="5" spans="1:18" x14ac:dyDescent="0.25">
      <c r="A5" s="10">
        <v>1.5760000000000001</v>
      </c>
      <c r="B5" s="11">
        <v>79.8</v>
      </c>
      <c r="C5" s="11">
        <v>95.9</v>
      </c>
      <c r="D5" s="10">
        <f>(B5+C5)/2</f>
        <v>87.85</v>
      </c>
      <c r="E5" s="9">
        <f>D5*A5</f>
        <v>138.45159999999998</v>
      </c>
      <c r="F5" s="10">
        <v>0.74199999999999999</v>
      </c>
      <c r="G5" s="11">
        <v>61.5</v>
      </c>
      <c r="H5" s="11">
        <v>65.3</v>
      </c>
      <c r="I5" s="10">
        <f>(H5+G5)/2</f>
        <v>63.4</v>
      </c>
      <c r="J5" s="9">
        <f>I5*F5</f>
        <v>47.0428</v>
      </c>
      <c r="K5" s="10">
        <v>1.0940000000000001</v>
      </c>
      <c r="L5" s="11">
        <v>62.3</v>
      </c>
      <c r="M5" s="11">
        <v>75.599999999999994</v>
      </c>
      <c r="N5" s="10">
        <f>(M5+L5)/2</f>
        <v>68.949999999999989</v>
      </c>
      <c r="O5" s="9">
        <f>N5*K5</f>
        <v>75.431299999999993</v>
      </c>
      <c r="P5" s="8">
        <f>SUM(O5,J5,E5)</f>
        <v>260.92570000000001</v>
      </c>
      <c r="Q5" s="8">
        <f>SUM(A5,F5,K5)</f>
        <v>3.4119999999999999</v>
      </c>
      <c r="R5" s="7">
        <f>P5/Q5</f>
        <v>76.472948417350537</v>
      </c>
    </row>
    <row r="6" spans="1:18" x14ac:dyDescent="0.25">
      <c r="A6" s="10">
        <v>1.776</v>
      </c>
      <c r="B6" s="11">
        <v>61.5</v>
      </c>
      <c r="C6" s="11">
        <v>88.6</v>
      </c>
      <c r="D6" s="10">
        <f>(B6+C6)/2</f>
        <v>75.05</v>
      </c>
      <c r="E6" s="9">
        <f>D6*A6</f>
        <v>133.28880000000001</v>
      </c>
      <c r="F6" s="10">
        <v>1.2130000000000001</v>
      </c>
      <c r="G6" s="11">
        <v>54.9</v>
      </c>
      <c r="H6" s="11">
        <v>60.5</v>
      </c>
      <c r="I6" s="10">
        <f>(H6+G6)/2</f>
        <v>57.7</v>
      </c>
      <c r="J6" s="9">
        <f>I6*F6</f>
        <v>69.990100000000012</v>
      </c>
      <c r="K6" s="10">
        <v>1.276</v>
      </c>
      <c r="L6" s="11">
        <v>74.8</v>
      </c>
      <c r="M6" s="11">
        <v>88.9</v>
      </c>
      <c r="N6" s="10">
        <f>(M6+L6)/2</f>
        <v>81.849999999999994</v>
      </c>
      <c r="O6" s="9">
        <f>N6*K6</f>
        <v>104.44059999999999</v>
      </c>
      <c r="P6" s="8">
        <f>SUM(O6,J6,E6)</f>
        <v>307.71950000000004</v>
      </c>
      <c r="Q6" s="8">
        <f>SUM(A6,F6,K6)</f>
        <v>4.2649999999999997</v>
      </c>
      <c r="R6" s="7">
        <f>P6/Q6</f>
        <v>72.149941383352882</v>
      </c>
    </row>
    <row r="7" spans="1:18" x14ac:dyDescent="0.25">
      <c r="A7" s="10">
        <v>1.1950000000000001</v>
      </c>
      <c r="B7" s="11">
        <v>76.5</v>
      </c>
      <c r="C7" s="11">
        <v>79.8</v>
      </c>
      <c r="D7" s="10">
        <f>(B7+C7)/2</f>
        <v>78.150000000000006</v>
      </c>
      <c r="E7" s="9">
        <f>D7*A7</f>
        <v>93.389250000000018</v>
      </c>
      <c r="F7" s="10">
        <v>1.077</v>
      </c>
      <c r="G7" s="11">
        <v>72.599999999999994</v>
      </c>
      <c r="H7" s="11">
        <v>88.9</v>
      </c>
      <c r="I7" s="10">
        <f>(H7+G7)/2</f>
        <v>80.75</v>
      </c>
      <c r="J7" s="9">
        <f>I7*F7</f>
        <v>86.967749999999995</v>
      </c>
      <c r="K7" s="10">
        <v>0.78800000000000003</v>
      </c>
      <c r="L7" s="11">
        <v>64.900000000000006</v>
      </c>
      <c r="M7" s="11">
        <v>85.3</v>
      </c>
      <c r="N7" s="10">
        <f>(M7+L7)/2</f>
        <v>75.099999999999994</v>
      </c>
      <c r="O7" s="9">
        <f>N7*K7</f>
        <v>59.178799999999995</v>
      </c>
      <c r="P7" s="8">
        <f>SUM(O7,J7,E7)</f>
        <v>239.53579999999999</v>
      </c>
      <c r="Q7" s="8">
        <f>SUM(A7,F7,K7)</f>
        <v>3.0600000000000005</v>
      </c>
      <c r="R7" s="7">
        <f>P7/Q7</f>
        <v>78.279673202614362</v>
      </c>
    </row>
    <row r="8" spans="1:18" x14ac:dyDescent="0.25">
      <c r="A8" s="10">
        <v>1.405</v>
      </c>
      <c r="B8" s="11">
        <v>67.2</v>
      </c>
      <c r="C8" s="11">
        <v>85.7</v>
      </c>
      <c r="D8" s="10">
        <f>(B8+C8)/2</f>
        <v>76.45</v>
      </c>
      <c r="E8" s="9">
        <f>D8*A8</f>
        <v>107.41225</v>
      </c>
      <c r="F8" s="10">
        <v>1.371</v>
      </c>
      <c r="G8" s="11">
        <v>54.5</v>
      </c>
      <c r="H8" s="11">
        <v>79.2</v>
      </c>
      <c r="I8" s="10">
        <f>(H8+G8)/2</f>
        <v>66.849999999999994</v>
      </c>
      <c r="J8" s="9">
        <f>I8*F8</f>
        <v>91.651349999999994</v>
      </c>
      <c r="K8" s="10">
        <v>1.7170000000000001</v>
      </c>
      <c r="L8" s="11">
        <v>79.599999999999994</v>
      </c>
      <c r="M8" s="11">
        <v>90.5</v>
      </c>
      <c r="N8" s="10">
        <f>(M8+L8)/2</f>
        <v>85.05</v>
      </c>
      <c r="O8" s="9">
        <f>N8*K8</f>
        <v>146.03085000000002</v>
      </c>
      <c r="P8" s="8">
        <f>SUM(O8,J8,E8)</f>
        <v>345.09445000000005</v>
      </c>
      <c r="Q8" s="8">
        <f>SUM(A8,F8,K8)</f>
        <v>4.4930000000000003</v>
      </c>
      <c r="R8" s="7">
        <f>P8/Q8</f>
        <v>76.807133318495445</v>
      </c>
    </row>
    <row r="9" spans="1:18" x14ac:dyDescent="0.25">
      <c r="A9" s="10">
        <v>2.238</v>
      </c>
      <c r="B9" s="11">
        <v>57.8</v>
      </c>
      <c r="C9" s="11">
        <v>80.5</v>
      </c>
      <c r="D9" s="10">
        <f>(B9+C9)/2</f>
        <v>69.150000000000006</v>
      </c>
      <c r="E9" s="9">
        <f>D9*A9</f>
        <v>154.7577</v>
      </c>
      <c r="F9" s="10">
        <v>1.7609999999999999</v>
      </c>
      <c r="G9" s="11">
        <v>64.5</v>
      </c>
      <c r="H9" s="11">
        <v>93.2</v>
      </c>
      <c r="I9" s="10">
        <f>(H9+G9)/2</f>
        <v>78.849999999999994</v>
      </c>
      <c r="J9" s="9">
        <f>I9*F9</f>
        <v>138.85484999999997</v>
      </c>
      <c r="K9" s="10">
        <v>0.85899999999999999</v>
      </c>
      <c r="L9" s="11">
        <v>38.4</v>
      </c>
      <c r="M9" s="11">
        <v>67.5</v>
      </c>
      <c r="N9" s="10">
        <f>(M9+L9)/2</f>
        <v>52.95</v>
      </c>
      <c r="O9" s="9">
        <f>N9*K9</f>
        <v>45.484050000000003</v>
      </c>
      <c r="P9" s="8">
        <f>SUM(O9,J9,E9)</f>
        <v>339.09659999999997</v>
      </c>
      <c r="Q9" s="8">
        <f>SUM(A9,F9,K9)</f>
        <v>4.8579999999999997</v>
      </c>
      <c r="R9" s="7">
        <f>P9/Q9</f>
        <v>69.801687937422813</v>
      </c>
    </row>
    <row r="10" spans="1:18" x14ac:dyDescent="0.25">
      <c r="A10" s="10">
        <v>1.6719999999999999</v>
      </c>
      <c r="B10" s="11">
        <v>59.8</v>
      </c>
      <c r="C10" s="11">
        <v>82.3</v>
      </c>
      <c r="D10" s="10">
        <f>(B10+C10)/2</f>
        <v>71.05</v>
      </c>
      <c r="E10" s="9">
        <f>D10*A10</f>
        <v>118.79559999999999</v>
      </c>
      <c r="F10" s="10">
        <v>1.431</v>
      </c>
      <c r="G10" s="11">
        <v>49.3</v>
      </c>
      <c r="H10" s="11">
        <v>87.5</v>
      </c>
      <c r="I10" s="10">
        <f>(H10+G10)/2</f>
        <v>68.400000000000006</v>
      </c>
      <c r="J10" s="9">
        <f>I10*F10</f>
        <v>97.880400000000009</v>
      </c>
      <c r="K10" s="10">
        <v>0.98599999999999999</v>
      </c>
      <c r="L10" s="11">
        <v>84.5</v>
      </c>
      <c r="M10" s="11">
        <v>88.6</v>
      </c>
      <c r="N10" s="10">
        <f>(M10+L10)/2</f>
        <v>86.55</v>
      </c>
      <c r="O10" s="9">
        <f>N10*K10</f>
        <v>85.33829999999999</v>
      </c>
      <c r="P10" s="8">
        <f>SUM(O10,J10,E10)</f>
        <v>302.01429999999999</v>
      </c>
      <c r="Q10" s="8">
        <f>SUM(A10,F10,K10)</f>
        <v>4.0889999999999995</v>
      </c>
      <c r="R10" s="7">
        <f>P10/Q10</f>
        <v>73.860185864514563</v>
      </c>
    </row>
    <row r="11" spans="1:18" x14ac:dyDescent="0.25">
      <c r="A11" s="10">
        <v>1.0589999999999999</v>
      </c>
      <c r="B11" s="11">
        <v>68.5</v>
      </c>
      <c r="C11" s="11">
        <v>77.599999999999994</v>
      </c>
      <c r="D11" s="10">
        <f>(B11+C11)/2</f>
        <v>73.05</v>
      </c>
      <c r="E11" s="9">
        <f>D11*A11</f>
        <v>77.359949999999998</v>
      </c>
      <c r="F11" s="10">
        <v>1.8260000000000001</v>
      </c>
      <c r="G11" s="11">
        <v>80.599999999999994</v>
      </c>
      <c r="H11" s="11">
        <v>98.5</v>
      </c>
      <c r="I11" s="10">
        <f>(H11+G11)/2</f>
        <v>89.55</v>
      </c>
      <c r="J11" s="9">
        <f>I11*F11</f>
        <v>163.51830000000001</v>
      </c>
      <c r="K11" s="10">
        <v>0.67300000000000004</v>
      </c>
      <c r="L11" s="11">
        <v>44.3</v>
      </c>
      <c r="M11" s="11">
        <v>67.5</v>
      </c>
      <c r="N11" s="10">
        <f>(M11+L11)/2</f>
        <v>55.9</v>
      </c>
      <c r="O11" s="9">
        <f>N11*K11</f>
        <v>37.620699999999999</v>
      </c>
      <c r="P11" s="8">
        <f>SUM(O11,J11,E11)</f>
        <v>278.49895000000004</v>
      </c>
      <c r="Q11" s="8">
        <f>SUM(A11,F11,K11)</f>
        <v>3.5579999999999998</v>
      </c>
      <c r="R11" s="7">
        <f>P11/Q11</f>
        <v>78.274016301292875</v>
      </c>
    </row>
    <row r="12" spans="1:18" x14ac:dyDescent="0.25">
      <c r="A12" s="10">
        <v>1.5389999999999999</v>
      </c>
      <c r="B12" s="11">
        <v>85.2</v>
      </c>
      <c r="C12" s="11">
        <v>105.8</v>
      </c>
      <c r="D12" s="10">
        <f>(B12+C12)/2</f>
        <v>95.5</v>
      </c>
      <c r="E12" s="9">
        <f>D12*A12</f>
        <v>146.97450000000001</v>
      </c>
      <c r="F12" s="29">
        <v>0.53</v>
      </c>
      <c r="G12" s="11">
        <v>34.5</v>
      </c>
      <c r="H12" s="11">
        <v>47.6</v>
      </c>
      <c r="I12" s="10">
        <f>(H12+G12)/2</f>
        <v>41.05</v>
      </c>
      <c r="J12" s="9">
        <f>I12*F12</f>
        <v>21.756499999999999</v>
      </c>
      <c r="K12" s="10">
        <v>1.0609999999999999</v>
      </c>
      <c r="L12" s="11">
        <v>74.8</v>
      </c>
      <c r="M12" s="11">
        <v>85.3</v>
      </c>
      <c r="N12" s="10">
        <f>(M12+L12)/2</f>
        <v>80.05</v>
      </c>
      <c r="O12" s="9">
        <f>N12*K12</f>
        <v>84.933049999999994</v>
      </c>
      <c r="P12" s="8">
        <f>SUM(O12,J12,E12)</f>
        <v>253.66405</v>
      </c>
      <c r="Q12" s="8">
        <f>SUM(A12,F12,K12)</f>
        <v>3.13</v>
      </c>
      <c r="R12" s="7">
        <f>P12/Q12</f>
        <v>81.04282747603834</v>
      </c>
    </row>
    <row r="13" spans="1:18" x14ac:dyDescent="0.25">
      <c r="A13" s="10">
        <v>1.4810000000000001</v>
      </c>
      <c r="B13" s="11">
        <v>58.5</v>
      </c>
      <c r="C13" s="11">
        <v>67.5</v>
      </c>
      <c r="D13" s="10">
        <f>(B13+C13)/2</f>
        <v>63</v>
      </c>
      <c r="E13" s="9">
        <f>D13*A13</f>
        <v>93.303000000000011</v>
      </c>
      <c r="F13" s="10">
        <v>1.669</v>
      </c>
      <c r="G13" s="11">
        <v>82.9</v>
      </c>
      <c r="H13" s="11">
        <v>88.6</v>
      </c>
      <c r="I13" s="10">
        <f>(H13+G13)/2</f>
        <v>85.75</v>
      </c>
      <c r="J13" s="9">
        <f>I13*F13</f>
        <v>143.11675</v>
      </c>
      <c r="K13" s="10">
        <v>1.2230000000000001</v>
      </c>
      <c r="L13" s="11">
        <v>74.8</v>
      </c>
      <c r="M13" s="11">
        <v>84.9</v>
      </c>
      <c r="N13" s="10">
        <f>(M13+L13)/2</f>
        <v>79.849999999999994</v>
      </c>
      <c r="O13" s="9">
        <f>N13*K13</f>
        <v>97.656549999999996</v>
      </c>
      <c r="P13" s="8">
        <f>SUM(O13,J13,E13)</f>
        <v>334.0763</v>
      </c>
      <c r="Q13" s="8">
        <f>SUM(A13,F13,K13)</f>
        <v>4.3730000000000002</v>
      </c>
      <c r="R13" s="7">
        <f>P13/Q13</f>
        <v>76.395220672307332</v>
      </c>
    </row>
    <row r="14" spans="1:18" x14ac:dyDescent="0.25">
      <c r="A14" s="10">
        <v>1.841</v>
      </c>
      <c r="B14" s="11">
        <v>73.5</v>
      </c>
      <c r="C14" s="11">
        <v>83.2</v>
      </c>
      <c r="D14" s="10">
        <f>(B14+C14)/2</f>
        <v>78.349999999999994</v>
      </c>
      <c r="E14" s="9">
        <f>D14*A14</f>
        <v>144.24234999999999</v>
      </c>
      <c r="F14" s="10">
        <v>1.651</v>
      </c>
      <c r="G14">
        <v>78.5</v>
      </c>
      <c r="H14" s="11">
        <v>89.2</v>
      </c>
      <c r="I14" s="10">
        <f>(H14+G14)/2</f>
        <v>83.85</v>
      </c>
      <c r="J14" s="9">
        <f>I14*F14</f>
        <v>138.43635</v>
      </c>
      <c r="K14" s="10">
        <v>0.61599999999999999</v>
      </c>
      <c r="L14" s="11">
        <v>50.5</v>
      </c>
      <c r="M14" s="11">
        <v>63.8</v>
      </c>
      <c r="N14" s="10">
        <f>(M14+L14)/2</f>
        <v>57.15</v>
      </c>
      <c r="O14" s="9">
        <f>N14*K14</f>
        <v>35.2044</v>
      </c>
      <c r="P14" s="8">
        <f>SUM(O14,J14,E14)</f>
        <v>317.88310000000001</v>
      </c>
      <c r="Q14" s="8">
        <f>SUM(A14,F14,K14)</f>
        <v>4.1079999999999997</v>
      </c>
      <c r="R14" s="7">
        <f>P14/Q14</f>
        <v>77.381475170399227</v>
      </c>
    </row>
    <row r="15" spans="1:18" x14ac:dyDescent="0.25">
      <c r="A15" s="10">
        <v>1.099</v>
      </c>
      <c r="B15" s="11">
        <v>56.7</v>
      </c>
      <c r="C15" s="11">
        <v>63.2</v>
      </c>
      <c r="D15" s="10">
        <f>(B15+C15)/2</f>
        <v>59.95</v>
      </c>
      <c r="E15" s="9">
        <f>D15*A15</f>
        <v>65.885050000000007</v>
      </c>
      <c r="F15" s="10">
        <v>1.4430000000000001</v>
      </c>
      <c r="G15" s="11">
        <v>76.5</v>
      </c>
      <c r="H15" s="11">
        <v>84.2</v>
      </c>
      <c r="I15" s="10">
        <f>(H15+G15)/2</f>
        <v>80.349999999999994</v>
      </c>
      <c r="J15" s="9">
        <f>I15*F15</f>
        <v>115.94504999999999</v>
      </c>
      <c r="K15" s="10">
        <v>0.71299999999999997</v>
      </c>
      <c r="L15" s="11">
        <v>53.8</v>
      </c>
      <c r="M15" s="11">
        <v>62.3</v>
      </c>
      <c r="N15" s="10">
        <f>(M15+L15)/2</f>
        <v>58.05</v>
      </c>
      <c r="O15" s="9">
        <f>N15*K15</f>
        <v>41.389649999999996</v>
      </c>
      <c r="P15" s="8">
        <f>SUM(O15,J15,E15)</f>
        <v>223.21975</v>
      </c>
      <c r="Q15" s="8">
        <f>SUM(A15,F15,K15)</f>
        <v>3.2549999999999999</v>
      </c>
      <c r="R15" s="7">
        <f>P15/Q15</f>
        <v>68.577496159754233</v>
      </c>
    </row>
    <row r="16" spans="1:18" x14ac:dyDescent="0.25">
      <c r="A16" s="10">
        <v>0.50800000000000001</v>
      </c>
      <c r="B16" s="11">
        <v>67.8</v>
      </c>
      <c r="C16" s="11">
        <v>76.5</v>
      </c>
      <c r="D16" s="10">
        <f>(B16+C16)/2</f>
        <v>72.150000000000006</v>
      </c>
      <c r="E16" s="9">
        <f>D16*A16</f>
        <v>36.652200000000001</v>
      </c>
      <c r="F16" s="10">
        <v>1.097</v>
      </c>
      <c r="G16" s="11">
        <v>49.5</v>
      </c>
      <c r="H16" s="11">
        <v>86.5</v>
      </c>
      <c r="I16" s="10">
        <f>(H16+G16)/2</f>
        <v>68</v>
      </c>
      <c r="J16" s="9">
        <f>I16*F16</f>
        <v>74.596000000000004</v>
      </c>
      <c r="K16" s="10">
        <v>0.84399999999999997</v>
      </c>
      <c r="L16" s="11">
        <v>59.2</v>
      </c>
      <c r="M16" s="11">
        <v>68.8</v>
      </c>
      <c r="N16" s="10">
        <f>(M16+L16)/2</f>
        <v>64</v>
      </c>
      <c r="O16" s="9">
        <f>N16*K16</f>
        <v>54.015999999999998</v>
      </c>
      <c r="P16" s="8">
        <f>SUM(O16,J16,E16)</f>
        <v>165.26419999999999</v>
      </c>
      <c r="Q16" s="8">
        <f>SUM(A16,F16,K16)</f>
        <v>2.4489999999999998</v>
      </c>
      <c r="R16" s="7">
        <f>P16/Q16</f>
        <v>67.482319314005721</v>
      </c>
    </row>
    <row r="17" spans="1:18" x14ac:dyDescent="0.25">
      <c r="A17" s="10">
        <v>0.90600000000000003</v>
      </c>
      <c r="B17" s="11">
        <v>47.5</v>
      </c>
      <c r="C17" s="11">
        <v>70.3</v>
      </c>
      <c r="D17" s="10">
        <f>(B17+C17)/2</f>
        <v>58.9</v>
      </c>
      <c r="E17" s="9">
        <f>D17*A17</f>
        <v>53.363399999999999</v>
      </c>
      <c r="F17" s="10">
        <v>1.4239999999999999</v>
      </c>
      <c r="G17" s="11">
        <v>62.8</v>
      </c>
      <c r="H17" s="11">
        <v>85.3</v>
      </c>
      <c r="I17" s="10">
        <f>(H17+G17)/2</f>
        <v>74.05</v>
      </c>
      <c r="J17" s="9">
        <f>I17*F17</f>
        <v>105.4472</v>
      </c>
      <c r="K17" s="10">
        <v>0.96299999999999997</v>
      </c>
      <c r="L17" s="11">
        <v>79.8</v>
      </c>
      <c r="M17" s="11">
        <v>88.6</v>
      </c>
      <c r="N17" s="10">
        <f>(M17+L17)/2</f>
        <v>84.199999999999989</v>
      </c>
      <c r="O17" s="9">
        <f>N17*K17</f>
        <v>81.08459999999998</v>
      </c>
      <c r="P17" s="8">
        <f>SUM(O17,J17,E17)</f>
        <v>239.89519999999999</v>
      </c>
      <c r="Q17" s="8">
        <f>SUM(A17,F17,K17)</f>
        <v>3.2930000000000001</v>
      </c>
      <c r="R17" s="7">
        <f>P17/Q17</f>
        <v>72.850045551169146</v>
      </c>
    </row>
    <row r="18" spans="1:18" x14ac:dyDescent="0.25">
      <c r="A18" s="10">
        <v>0.629</v>
      </c>
      <c r="B18" s="11">
        <v>56.5</v>
      </c>
      <c r="C18" s="11">
        <v>62.3</v>
      </c>
      <c r="D18" s="10">
        <f>(B18+C18)/2</f>
        <v>59.4</v>
      </c>
      <c r="E18" s="9">
        <f>D18*A18</f>
        <v>37.3626</v>
      </c>
      <c r="F18" s="10">
        <v>1.028</v>
      </c>
      <c r="G18" s="11">
        <v>79.2</v>
      </c>
      <c r="H18" s="11">
        <v>86.5</v>
      </c>
      <c r="I18" s="10">
        <f>(H18+G18)/2</f>
        <v>82.85</v>
      </c>
      <c r="J18" s="9">
        <f>I18*F18</f>
        <v>85.169799999999995</v>
      </c>
      <c r="K18" s="10">
        <v>0.59399999999999997</v>
      </c>
      <c r="L18" s="11">
        <v>69.8</v>
      </c>
      <c r="M18" s="11">
        <v>73.5</v>
      </c>
      <c r="N18" s="10">
        <f>(M18+L18)/2</f>
        <v>71.650000000000006</v>
      </c>
      <c r="O18" s="9">
        <f>N18*K18</f>
        <v>42.560099999999998</v>
      </c>
      <c r="P18" s="8">
        <f>SUM(O18,J18,E18)</f>
        <v>165.09249999999997</v>
      </c>
      <c r="Q18" s="8">
        <f>SUM(A18,F18,K18)</f>
        <v>2.2509999999999999</v>
      </c>
      <c r="R18" s="7">
        <f>P18/Q18</f>
        <v>73.341848067525532</v>
      </c>
    </row>
    <row r="20" spans="1:18" x14ac:dyDescent="0.25">
      <c r="A20" s="28" t="s">
        <v>51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</row>
    <row r="21" spans="1:18" x14ac:dyDescent="0.25">
      <c r="A21" s="25" t="s">
        <v>50</v>
      </c>
      <c r="B21" s="24"/>
      <c r="C21" s="24"/>
      <c r="D21" s="24"/>
      <c r="E21" s="23"/>
      <c r="F21" s="25" t="s">
        <v>49</v>
      </c>
      <c r="G21" s="24"/>
      <c r="H21" s="24"/>
      <c r="I21" s="24"/>
      <c r="J21" s="23"/>
      <c r="K21" s="14" t="s">
        <v>48</v>
      </c>
      <c r="L21" s="14"/>
      <c r="M21" s="14"/>
      <c r="N21" s="14"/>
      <c r="O21" s="13"/>
      <c r="P21" s="12" t="s">
        <v>39</v>
      </c>
      <c r="Q21" s="12"/>
      <c r="R21" s="12"/>
    </row>
    <row r="22" spans="1:18" x14ac:dyDescent="0.25">
      <c r="A22" s="10" t="s">
        <v>47</v>
      </c>
      <c r="B22" s="11" t="s">
        <v>37</v>
      </c>
      <c r="C22" s="11" t="s">
        <v>36</v>
      </c>
      <c r="D22" s="10" t="s">
        <v>35</v>
      </c>
      <c r="E22" s="9" t="s">
        <v>34</v>
      </c>
      <c r="F22" s="10" t="s">
        <v>46</v>
      </c>
      <c r="G22" s="11" t="s">
        <v>32</v>
      </c>
      <c r="H22" s="11" t="s">
        <v>31</v>
      </c>
      <c r="I22" s="10" t="s">
        <v>30</v>
      </c>
      <c r="J22" s="9" t="s">
        <v>29</v>
      </c>
      <c r="K22" s="10" t="s">
        <v>45</v>
      </c>
      <c r="L22" s="11" t="s">
        <v>27</v>
      </c>
      <c r="M22" s="11" t="s">
        <v>26</v>
      </c>
      <c r="N22" s="10" t="s">
        <v>25</v>
      </c>
      <c r="O22" s="9" t="s">
        <v>24</v>
      </c>
      <c r="P22" s="8" t="s">
        <v>2</v>
      </c>
      <c r="Q22" s="8" t="s">
        <v>1</v>
      </c>
      <c r="R22" s="22" t="s">
        <v>44</v>
      </c>
    </row>
    <row r="23" spans="1:18" x14ac:dyDescent="0.25">
      <c r="A23" s="4">
        <v>1.3560000000000001</v>
      </c>
      <c r="B23" s="5">
        <v>56.7</v>
      </c>
      <c r="C23" s="5">
        <v>62.8</v>
      </c>
      <c r="D23" s="4">
        <f>(B23+C23)/2</f>
        <v>59.75</v>
      </c>
      <c r="E23" s="3">
        <f>D23*A23</f>
        <v>81.021000000000001</v>
      </c>
      <c r="F23" s="4">
        <v>2.5430000000000001</v>
      </c>
      <c r="G23" s="5">
        <v>63.1</v>
      </c>
      <c r="H23" s="5">
        <v>68.5</v>
      </c>
      <c r="I23" s="4">
        <f>(H23+G23)/2</f>
        <v>65.8</v>
      </c>
      <c r="J23" s="3">
        <f>I23*F23</f>
        <v>167.32939999999999</v>
      </c>
      <c r="K23" s="4">
        <v>0.67300000000000004</v>
      </c>
      <c r="L23" s="5">
        <v>50.4</v>
      </c>
      <c r="M23" s="5">
        <v>65.3</v>
      </c>
      <c r="N23" s="4">
        <f>(M23+L23)/2</f>
        <v>57.849999999999994</v>
      </c>
      <c r="O23" s="3">
        <f>N23*K23</f>
        <v>38.933050000000001</v>
      </c>
      <c r="P23" s="2">
        <f>SUM(O23,J23,E23)</f>
        <v>287.28345000000002</v>
      </c>
      <c r="Q23" s="2">
        <f>SUM(A23,F23,K23)</f>
        <v>4.5720000000000001</v>
      </c>
      <c r="R23" s="1">
        <f>P23/Q23</f>
        <v>62.835400262467196</v>
      </c>
    </row>
    <row r="24" spans="1:18" x14ac:dyDescent="0.25">
      <c r="A24" s="4">
        <v>1.0980000000000001</v>
      </c>
      <c r="B24" s="5">
        <v>62.4</v>
      </c>
      <c r="C24" s="5">
        <v>64.2</v>
      </c>
      <c r="D24" s="4">
        <f>(B24+C24)/2</f>
        <v>63.3</v>
      </c>
      <c r="E24" s="3">
        <f>D24*A24</f>
        <v>69.503399999999999</v>
      </c>
      <c r="F24" s="4">
        <v>2.375</v>
      </c>
      <c r="G24" s="5">
        <v>62.9</v>
      </c>
      <c r="H24" s="5">
        <v>68.3</v>
      </c>
      <c r="I24" s="4">
        <f>(H24+G24)/2</f>
        <v>65.599999999999994</v>
      </c>
      <c r="J24" s="3">
        <f>I24*F24</f>
        <v>155.79999999999998</v>
      </c>
      <c r="K24" s="4">
        <v>1.369</v>
      </c>
      <c r="L24" s="5">
        <v>49.3</v>
      </c>
      <c r="M24" s="5">
        <v>56.9</v>
      </c>
      <c r="N24" s="4">
        <f>(M24+L24)/2</f>
        <v>53.099999999999994</v>
      </c>
      <c r="O24" s="3">
        <f>N24*K24</f>
        <v>72.693899999999985</v>
      </c>
      <c r="P24" s="2">
        <f>SUM(O24,J24,E24)</f>
        <v>297.9973</v>
      </c>
      <c r="Q24" s="2">
        <f>SUM(A24,F24,K24)</f>
        <v>4.8419999999999996</v>
      </c>
      <c r="R24" s="1">
        <f>P24/Q24</f>
        <v>61.544258570838501</v>
      </c>
    </row>
    <row r="25" spans="1:18" x14ac:dyDescent="0.25">
      <c r="A25" s="4">
        <v>2.0310000000000001</v>
      </c>
      <c r="B25" s="5">
        <v>64.8</v>
      </c>
      <c r="C25" s="5">
        <v>68.5</v>
      </c>
      <c r="D25" s="4">
        <f>(B25+C25)/2</f>
        <v>66.650000000000006</v>
      </c>
      <c r="E25" s="3">
        <f>D25*A25</f>
        <v>135.36615000000003</v>
      </c>
      <c r="F25" s="4">
        <v>1.962</v>
      </c>
      <c r="G25" s="5">
        <v>65.2</v>
      </c>
      <c r="H25" s="5">
        <v>70.2</v>
      </c>
      <c r="I25" s="4">
        <f>(H25+G25)/2</f>
        <v>67.7</v>
      </c>
      <c r="J25" s="3">
        <f>I25*F25</f>
        <v>132.82740000000001</v>
      </c>
      <c r="K25" s="4">
        <v>0.57199999999999995</v>
      </c>
      <c r="L25" s="5">
        <v>48.5</v>
      </c>
      <c r="M25" s="5">
        <v>57.6</v>
      </c>
      <c r="N25" s="4">
        <f>(M25+L25)/2</f>
        <v>53.05</v>
      </c>
      <c r="O25" s="3">
        <f>N25*K25</f>
        <v>30.344599999999996</v>
      </c>
      <c r="P25" s="2">
        <f>SUM(O25,J25,E25)</f>
        <v>298.53815000000003</v>
      </c>
      <c r="Q25" s="2">
        <f>SUM(A25,F25,K25)</f>
        <v>4.5650000000000004</v>
      </c>
      <c r="R25" s="1">
        <f>P25/Q25</f>
        <v>65.397185104052582</v>
      </c>
    </row>
    <row r="26" spans="1:18" x14ac:dyDescent="0.25">
      <c r="A26" s="4">
        <v>1.786</v>
      </c>
      <c r="B26" s="5">
        <v>54.7</v>
      </c>
      <c r="C26" s="5">
        <v>65.8</v>
      </c>
      <c r="D26" s="4">
        <f>(B26+C26)/2</f>
        <v>60.25</v>
      </c>
      <c r="E26" s="3">
        <f>D26*A26</f>
        <v>107.6065</v>
      </c>
      <c r="F26" s="4">
        <v>1.79</v>
      </c>
      <c r="G26" s="5">
        <v>59.8</v>
      </c>
      <c r="H26" s="5">
        <v>64.599999999999994</v>
      </c>
      <c r="I26" s="4">
        <f>(H26+G26)/2</f>
        <v>62.199999999999996</v>
      </c>
      <c r="J26" s="3">
        <f>I26*F26</f>
        <v>111.33799999999999</v>
      </c>
      <c r="K26" s="4">
        <v>0.89500000000000002</v>
      </c>
      <c r="L26" s="5">
        <v>50.6</v>
      </c>
      <c r="M26" s="5">
        <v>59.8</v>
      </c>
      <c r="N26" s="4">
        <f>(M26+L26)/2</f>
        <v>55.2</v>
      </c>
      <c r="O26" s="3">
        <f>N26*K26</f>
        <v>49.404000000000003</v>
      </c>
      <c r="P26" s="2">
        <f>SUM(O26,J26,E26)</f>
        <v>268.3485</v>
      </c>
      <c r="Q26" s="2">
        <f>SUM(A26,F26,K26)</f>
        <v>4.4710000000000001</v>
      </c>
      <c r="R26" s="1">
        <f>P26/Q26</f>
        <v>60.019794229478862</v>
      </c>
    </row>
    <row r="27" spans="1:18" x14ac:dyDescent="0.25">
      <c r="A27" s="20">
        <v>1.0780000000000001</v>
      </c>
      <c r="B27" s="21">
        <v>64.5</v>
      </c>
      <c r="C27" s="21">
        <v>69.8</v>
      </c>
      <c r="D27" s="20">
        <f>(B27+C27)/2</f>
        <v>67.150000000000006</v>
      </c>
      <c r="E27" s="19">
        <f>D27*A27</f>
        <v>72.387700000000009</v>
      </c>
      <c r="F27" s="20">
        <v>2.9950000000000001</v>
      </c>
      <c r="G27" s="21">
        <v>60.5</v>
      </c>
      <c r="H27" s="21">
        <v>70.8</v>
      </c>
      <c r="I27" s="20">
        <f>(H27+G27)/2</f>
        <v>65.650000000000006</v>
      </c>
      <c r="J27" s="19">
        <f>I27*F27</f>
        <v>196.62175000000002</v>
      </c>
      <c r="K27" s="20">
        <v>0.76600000000000001</v>
      </c>
      <c r="L27" s="21">
        <v>55.8</v>
      </c>
      <c r="M27" s="21">
        <v>64.3</v>
      </c>
      <c r="N27" s="20">
        <f>(M27+L27)/2</f>
        <v>60.05</v>
      </c>
      <c r="O27" s="19">
        <f>N27*K27</f>
        <v>45.9983</v>
      </c>
      <c r="P27" s="18">
        <f>SUM(O27,J27,E27)</f>
        <v>315.00775000000004</v>
      </c>
      <c r="Q27" s="18">
        <f>SUM(A27,F27,K27)</f>
        <v>4.8390000000000004</v>
      </c>
      <c r="R27" s="17">
        <f>P27/Q27</f>
        <v>65.097695804918374</v>
      </c>
    </row>
    <row r="28" spans="1:18" x14ac:dyDescent="0.25">
      <c r="A28" s="4">
        <v>1.0669999999999999</v>
      </c>
      <c r="B28" s="5">
        <v>60.4</v>
      </c>
      <c r="C28" s="5">
        <v>62.8</v>
      </c>
      <c r="D28" s="4">
        <f>(B28+C28)/2</f>
        <v>61.599999999999994</v>
      </c>
      <c r="E28" s="3">
        <f>D28*A28</f>
        <v>65.727199999999996</v>
      </c>
      <c r="F28" s="4">
        <v>1.58</v>
      </c>
      <c r="G28" s="5">
        <v>65.5</v>
      </c>
      <c r="H28" s="5">
        <v>69.7</v>
      </c>
      <c r="I28" s="4">
        <f>(H28+G28)/2</f>
        <v>67.599999999999994</v>
      </c>
      <c r="J28" s="3">
        <f>I28*F28</f>
        <v>106.80799999999999</v>
      </c>
      <c r="K28" s="4">
        <v>0.876</v>
      </c>
      <c r="L28" s="5">
        <v>50.8</v>
      </c>
      <c r="M28" s="5">
        <v>57.9</v>
      </c>
      <c r="N28" s="4">
        <f>(M28+L28)/2</f>
        <v>54.349999999999994</v>
      </c>
      <c r="O28" s="3">
        <f>N28*K28</f>
        <v>47.610599999999998</v>
      </c>
      <c r="P28" s="2">
        <f>SUM(O28,J28,E28)</f>
        <v>220.14580000000001</v>
      </c>
      <c r="Q28" s="2">
        <f>SUM(A28,F28,K28)</f>
        <v>3.5230000000000001</v>
      </c>
      <c r="R28" s="1">
        <f>P28/Q28</f>
        <v>62.488163497019585</v>
      </c>
    </row>
    <row r="29" spans="1:18" x14ac:dyDescent="0.25">
      <c r="A29" s="4">
        <v>1.0940000000000001</v>
      </c>
      <c r="B29" s="5">
        <v>59.4</v>
      </c>
      <c r="C29" s="5">
        <v>65.3</v>
      </c>
      <c r="D29" s="4">
        <f>(B29+C29)/2</f>
        <v>62.349999999999994</v>
      </c>
      <c r="E29" s="3">
        <f>D29*A29</f>
        <v>68.210899999999995</v>
      </c>
      <c r="F29" s="4">
        <v>1.63</v>
      </c>
      <c r="G29" s="5">
        <v>65.7</v>
      </c>
      <c r="H29" s="5">
        <v>70.5</v>
      </c>
      <c r="I29" s="4">
        <f>(H29+G29)/2</f>
        <v>68.099999999999994</v>
      </c>
      <c r="J29" s="3">
        <f>I29*F29</f>
        <v>111.00299999999999</v>
      </c>
      <c r="K29" s="4">
        <v>0.79200000000000004</v>
      </c>
      <c r="L29" s="5">
        <v>45.2</v>
      </c>
      <c r="M29" s="5">
        <v>54.1</v>
      </c>
      <c r="N29" s="4">
        <f>(M29+L29)/2</f>
        <v>49.650000000000006</v>
      </c>
      <c r="O29" s="3">
        <f>N29*K29</f>
        <v>39.322800000000008</v>
      </c>
      <c r="P29" s="2">
        <f>SUM(O29,J29,E29)</f>
        <v>218.5367</v>
      </c>
      <c r="Q29" s="2">
        <f>SUM(A29,F29,K29)</f>
        <v>3.516</v>
      </c>
      <c r="R29" s="1">
        <f>P29/Q29</f>
        <v>62.154920364050056</v>
      </c>
    </row>
    <row r="30" spans="1:18" x14ac:dyDescent="0.25">
      <c r="A30" s="4">
        <v>1.0629999999999999</v>
      </c>
      <c r="B30" s="5">
        <v>56.3</v>
      </c>
      <c r="C30" s="5">
        <v>62.7</v>
      </c>
      <c r="D30" s="4">
        <f>(B30+C30)/2</f>
        <v>59.5</v>
      </c>
      <c r="E30" s="3">
        <f>D30*A30</f>
        <v>63.2485</v>
      </c>
      <c r="F30" s="4">
        <v>1.25</v>
      </c>
      <c r="G30" s="5">
        <v>64.400000000000006</v>
      </c>
      <c r="H30" s="5">
        <v>79.8</v>
      </c>
      <c r="I30" s="4">
        <f>(H30+G30)/2</f>
        <v>72.099999999999994</v>
      </c>
      <c r="J30" s="3">
        <f>I30*F30</f>
        <v>90.125</v>
      </c>
      <c r="K30" s="4">
        <v>1.256</v>
      </c>
      <c r="L30" s="5">
        <v>49.2</v>
      </c>
      <c r="M30" s="5">
        <v>57.9</v>
      </c>
      <c r="N30" s="4">
        <f>(M30+L30)/2</f>
        <v>53.55</v>
      </c>
      <c r="O30" s="3">
        <f>N30*K30</f>
        <v>67.258799999999994</v>
      </c>
      <c r="P30" s="2">
        <f>SUM(O30,J30,E30)</f>
        <v>220.63230000000001</v>
      </c>
      <c r="Q30" s="2">
        <f>SUM(A30,F30,K30)</f>
        <v>3.569</v>
      </c>
      <c r="R30" s="1">
        <f>P30/Q30</f>
        <v>61.819080975063045</v>
      </c>
    </row>
    <row r="31" spans="1:18" x14ac:dyDescent="0.25">
      <c r="A31" s="4">
        <v>1.0649999999999999</v>
      </c>
      <c r="B31" s="5">
        <v>58.6</v>
      </c>
      <c r="C31" s="5">
        <v>66.099999999999994</v>
      </c>
      <c r="D31" s="4">
        <f>(B31+C31)/2</f>
        <v>62.349999999999994</v>
      </c>
      <c r="E31" s="3">
        <f>D31*A31</f>
        <v>66.402749999999997</v>
      </c>
      <c r="F31" s="26">
        <v>1.1599999999999999</v>
      </c>
      <c r="G31" s="5">
        <v>69.5</v>
      </c>
      <c r="H31" s="5">
        <v>80.3</v>
      </c>
      <c r="I31" s="4">
        <f>(H31+G31)/2</f>
        <v>74.900000000000006</v>
      </c>
      <c r="J31" s="3">
        <f>I31*F31</f>
        <v>86.884</v>
      </c>
      <c r="K31" s="4">
        <v>0.98799999999999999</v>
      </c>
      <c r="L31" s="5">
        <v>43.5</v>
      </c>
      <c r="M31" s="5">
        <v>59.1</v>
      </c>
      <c r="N31" s="4">
        <f>(M31+L31)/2</f>
        <v>51.3</v>
      </c>
      <c r="O31" s="3">
        <f>N31*K31</f>
        <v>50.684399999999997</v>
      </c>
      <c r="P31" s="2">
        <f>SUM(O31,J31,E31)</f>
        <v>203.97114999999999</v>
      </c>
      <c r="Q31" s="2">
        <f>SUM(A31,F31,K31)</f>
        <v>3.2129999999999996</v>
      </c>
      <c r="R31" s="1">
        <f>P31/Q31</f>
        <v>63.483084344849054</v>
      </c>
    </row>
    <row r="32" spans="1:18" x14ac:dyDescent="0.25">
      <c r="A32" s="20">
        <v>1.085</v>
      </c>
      <c r="B32" s="21">
        <v>60.5</v>
      </c>
      <c r="C32" s="21">
        <v>65.8</v>
      </c>
      <c r="D32" s="20">
        <f>(B32+C32)/2</f>
        <v>63.15</v>
      </c>
      <c r="E32" s="19">
        <f>D32*A32</f>
        <v>68.517749999999992</v>
      </c>
      <c r="F32" s="20">
        <v>1.26</v>
      </c>
      <c r="G32" s="21">
        <v>48.5</v>
      </c>
      <c r="H32" s="21">
        <v>62.3</v>
      </c>
      <c r="I32" s="20">
        <f>(H32+G32)/2</f>
        <v>55.4</v>
      </c>
      <c r="J32" s="19">
        <f>I32*F32</f>
        <v>69.804000000000002</v>
      </c>
      <c r="K32" s="20">
        <v>0.93500000000000005</v>
      </c>
      <c r="L32" s="21">
        <v>45.6</v>
      </c>
      <c r="M32" s="21">
        <v>52.3</v>
      </c>
      <c r="N32" s="20">
        <f>(M32+L32)/2</f>
        <v>48.95</v>
      </c>
      <c r="O32" s="19">
        <f>N32*K32</f>
        <v>45.768250000000002</v>
      </c>
      <c r="P32" s="18">
        <f>SUM(O32,J32,E32)</f>
        <v>184.08999999999997</v>
      </c>
      <c r="Q32" s="18">
        <f>SUM(A32,F32,K32)</f>
        <v>3.28</v>
      </c>
      <c r="R32" s="17">
        <f>P32/Q32</f>
        <v>56.124999999999993</v>
      </c>
    </row>
    <row r="33" spans="1:18" x14ac:dyDescent="0.25">
      <c r="A33" s="26">
        <v>1.0860000000000001</v>
      </c>
      <c r="B33" s="5">
        <v>57.8</v>
      </c>
      <c r="C33" s="5">
        <v>62.5</v>
      </c>
      <c r="D33" s="4">
        <f>(B33+C33)/2</f>
        <v>60.15</v>
      </c>
      <c r="E33" s="3">
        <f>D33*A33</f>
        <v>65.322900000000004</v>
      </c>
      <c r="F33" s="4">
        <v>2.012</v>
      </c>
      <c r="G33" s="6">
        <v>63.1</v>
      </c>
      <c r="H33" s="5">
        <v>76.2</v>
      </c>
      <c r="I33" s="4">
        <f>(H33+G33)/2</f>
        <v>69.650000000000006</v>
      </c>
      <c r="J33" s="3">
        <f>I33*F33</f>
        <v>140.13580000000002</v>
      </c>
      <c r="K33" s="4">
        <v>1.0469999999999999</v>
      </c>
      <c r="L33" s="5">
        <v>49.7</v>
      </c>
      <c r="M33" s="5">
        <v>56.1</v>
      </c>
      <c r="N33" s="4">
        <f>(M33+L33)/2</f>
        <v>52.900000000000006</v>
      </c>
      <c r="O33" s="3">
        <f>N33*K33</f>
        <v>55.386300000000006</v>
      </c>
      <c r="P33" s="2">
        <f>SUM(O33,J33,E33)</f>
        <v>260.84500000000003</v>
      </c>
      <c r="Q33" s="2">
        <f>SUM(A33,F33,K33)</f>
        <v>4.1449999999999996</v>
      </c>
      <c r="R33" s="1">
        <f>P33/Q33</f>
        <v>62.930036188178541</v>
      </c>
    </row>
    <row r="34" spans="1:18" x14ac:dyDescent="0.25">
      <c r="A34" s="4">
        <v>1.2669999999999999</v>
      </c>
      <c r="B34" s="5">
        <v>65.3</v>
      </c>
      <c r="C34" s="5">
        <v>70.099999999999994</v>
      </c>
      <c r="D34" s="4">
        <f>(B34+C34)/2</f>
        <v>67.699999999999989</v>
      </c>
      <c r="E34" s="3">
        <f>D34*A34</f>
        <v>85.775899999999979</v>
      </c>
      <c r="F34" s="4">
        <v>1.7849999999999999</v>
      </c>
      <c r="G34" s="5">
        <v>58.9</v>
      </c>
      <c r="H34" s="5">
        <v>62.3</v>
      </c>
      <c r="I34" s="4">
        <f>(H34+G34)/2</f>
        <v>60.599999999999994</v>
      </c>
      <c r="J34" s="3">
        <f>I34*F34</f>
        <v>108.17099999999998</v>
      </c>
      <c r="K34" s="4">
        <v>1.083</v>
      </c>
      <c r="L34" s="5">
        <v>50.1</v>
      </c>
      <c r="M34" s="5">
        <v>57.9</v>
      </c>
      <c r="N34" s="4">
        <f>(M34+L34)/2</f>
        <v>54</v>
      </c>
      <c r="O34" s="3">
        <f>N34*K34</f>
        <v>58.481999999999999</v>
      </c>
      <c r="P34" s="2">
        <f>SUM(O34,J34,E34)</f>
        <v>252.42889999999994</v>
      </c>
      <c r="Q34" s="2">
        <f>SUM(A34,F34,K34)</f>
        <v>4.1349999999999998</v>
      </c>
      <c r="R34" s="1">
        <f>P34/Q34</f>
        <v>61.046892382103977</v>
      </c>
    </row>
    <row r="35" spans="1:18" x14ac:dyDescent="0.25">
      <c r="A35" s="4">
        <v>1.3520000000000001</v>
      </c>
      <c r="B35" s="5">
        <v>63.9</v>
      </c>
      <c r="C35" s="5">
        <v>68.900000000000006</v>
      </c>
      <c r="D35" s="4">
        <f>(B35+C35)/2</f>
        <v>66.400000000000006</v>
      </c>
      <c r="E35" s="3">
        <f>D35*A35</f>
        <v>89.772800000000018</v>
      </c>
      <c r="F35" s="4">
        <v>1.9870000000000001</v>
      </c>
      <c r="G35" s="5">
        <v>57.6</v>
      </c>
      <c r="H35" s="5">
        <v>62.7</v>
      </c>
      <c r="I35" s="4">
        <f>(H35+G35)/2</f>
        <v>60.150000000000006</v>
      </c>
      <c r="J35" s="3">
        <f>I35*F35</f>
        <v>119.51805000000002</v>
      </c>
      <c r="K35" s="4">
        <v>0.89700000000000002</v>
      </c>
      <c r="L35" s="5">
        <v>48.9</v>
      </c>
      <c r="M35" s="5">
        <v>55.6</v>
      </c>
      <c r="N35" s="4">
        <f>(M35+L35)/2</f>
        <v>52.25</v>
      </c>
      <c r="O35" s="3">
        <f>N35*K35</f>
        <v>46.868250000000003</v>
      </c>
      <c r="P35" s="2">
        <f>SUM(O35,J35,E35)</f>
        <v>256.15910000000002</v>
      </c>
      <c r="Q35" s="2">
        <f>SUM(A35,F35,K35)</f>
        <v>4.2360000000000007</v>
      </c>
      <c r="R35" s="1">
        <f>P35/Q35</f>
        <v>60.47193106704438</v>
      </c>
    </row>
    <row r="36" spans="1:18" x14ac:dyDescent="0.25">
      <c r="A36" s="4">
        <v>1.0649999999999999</v>
      </c>
      <c r="B36" s="5">
        <v>64.2</v>
      </c>
      <c r="C36" s="5">
        <v>71.2</v>
      </c>
      <c r="D36" s="4">
        <f>(B36+C36)/2</f>
        <v>67.7</v>
      </c>
      <c r="E36" s="3">
        <f>D36*A36</f>
        <v>72.100499999999997</v>
      </c>
      <c r="F36" s="4">
        <v>2.0350000000000001</v>
      </c>
      <c r="G36" s="5">
        <v>58.9</v>
      </c>
      <c r="H36" s="5">
        <v>65.400000000000006</v>
      </c>
      <c r="I36" s="4">
        <f>(H36+G36)/2</f>
        <v>62.150000000000006</v>
      </c>
      <c r="J36" s="3">
        <f>I36*F36</f>
        <v>126.47525000000002</v>
      </c>
      <c r="K36" s="4">
        <v>0.96499999999999997</v>
      </c>
      <c r="L36" s="5">
        <v>49.8</v>
      </c>
      <c r="M36" s="5">
        <v>55.3</v>
      </c>
      <c r="N36" s="4">
        <f>(M36+L36)/2</f>
        <v>52.55</v>
      </c>
      <c r="O36" s="3">
        <f>N36*K36</f>
        <v>50.710749999999997</v>
      </c>
      <c r="P36" s="2">
        <f>SUM(O36,J36,E36)</f>
        <v>249.28649999999999</v>
      </c>
      <c r="Q36" s="2">
        <f>SUM(A36,F36,K36)</f>
        <v>4.0650000000000004</v>
      </c>
      <c r="R36" s="1">
        <f>P36/Q36</f>
        <v>61.325092250922502</v>
      </c>
    </row>
    <row r="37" spans="1:18" x14ac:dyDescent="0.25">
      <c r="A37" s="4">
        <v>1.1339999999999999</v>
      </c>
      <c r="B37" s="5">
        <v>58.2</v>
      </c>
      <c r="C37" s="5">
        <v>64.5</v>
      </c>
      <c r="D37" s="4">
        <f>(B37+C37)/2</f>
        <v>61.35</v>
      </c>
      <c r="E37" s="3">
        <f>D37*A37</f>
        <v>69.570899999999995</v>
      </c>
      <c r="F37" s="4">
        <v>1.34</v>
      </c>
      <c r="G37" s="5">
        <v>67.099999999999994</v>
      </c>
      <c r="H37" s="5">
        <v>71.3</v>
      </c>
      <c r="I37" s="4">
        <f>(H37+G37)/2</f>
        <v>69.199999999999989</v>
      </c>
      <c r="J37" s="3">
        <f>I37*F37</f>
        <v>92.727999999999994</v>
      </c>
      <c r="K37" s="4">
        <v>1.0249999999999999</v>
      </c>
      <c r="L37" s="5">
        <v>52.9</v>
      </c>
      <c r="M37" s="5">
        <v>57.8</v>
      </c>
      <c r="N37" s="4">
        <f>(M37+L37)/2</f>
        <v>55.349999999999994</v>
      </c>
      <c r="O37" s="3">
        <f>N37*K37</f>
        <v>56.733749999999986</v>
      </c>
      <c r="P37" s="2">
        <f>SUM(O37,J37,E37)</f>
        <v>219.03264999999999</v>
      </c>
      <c r="Q37" s="2">
        <f>SUM(A37,F37,K37)</f>
        <v>3.4990000000000001</v>
      </c>
      <c r="R37" s="1">
        <f>P37/Q37</f>
        <v>62.598642469276932</v>
      </c>
    </row>
    <row r="40" spans="1:18" x14ac:dyDescent="0.25">
      <c r="A40" s="16" t="s">
        <v>43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</row>
    <row r="41" spans="1:18" x14ac:dyDescent="0.25">
      <c r="A41" s="25" t="s">
        <v>42</v>
      </c>
      <c r="B41" s="24"/>
      <c r="C41" s="24"/>
      <c r="D41" s="24"/>
      <c r="E41" s="23"/>
      <c r="F41" s="14" t="s">
        <v>41</v>
      </c>
      <c r="G41" s="14"/>
      <c r="H41" s="14"/>
      <c r="I41" s="14"/>
      <c r="J41" s="13"/>
      <c r="K41" s="14" t="s">
        <v>40</v>
      </c>
      <c r="L41" s="14"/>
      <c r="M41" s="14"/>
      <c r="N41" s="14"/>
      <c r="O41" s="13"/>
      <c r="P41" s="12" t="s">
        <v>39</v>
      </c>
      <c r="Q41" s="12"/>
      <c r="R41" s="12"/>
    </row>
    <row r="42" spans="1:18" x14ac:dyDescent="0.25">
      <c r="A42" s="10" t="s">
        <v>38</v>
      </c>
      <c r="B42" s="11" t="s">
        <v>37</v>
      </c>
      <c r="C42" s="11" t="s">
        <v>36</v>
      </c>
      <c r="D42" s="10" t="s">
        <v>35</v>
      </c>
      <c r="E42" s="9" t="s">
        <v>34</v>
      </c>
      <c r="F42" s="10" t="s">
        <v>33</v>
      </c>
      <c r="G42" s="11" t="s">
        <v>32</v>
      </c>
      <c r="H42" s="11" t="s">
        <v>31</v>
      </c>
      <c r="I42" s="10" t="s">
        <v>30</v>
      </c>
      <c r="J42" s="9" t="s">
        <v>29</v>
      </c>
      <c r="K42" s="10" t="s">
        <v>28</v>
      </c>
      <c r="L42" s="11" t="s">
        <v>27</v>
      </c>
      <c r="M42" s="11" t="s">
        <v>26</v>
      </c>
      <c r="N42" s="10" t="s">
        <v>25</v>
      </c>
      <c r="O42" s="9" t="s">
        <v>24</v>
      </c>
      <c r="P42" s="8" t="s">
        <v>2</v>
      </c>
      <c r="Q42" s="8" t="s">
        <v>1</v>
      </c>
      <c r="R42" s="22" t="s">
        <v>23</v>
      </c>
    </row>
    <row r="43" spans="1:18" x14ac:dyDescent="0.25">
      <c r="A43" s="4">
        <v>176</v>
      </c>
      <c r="B43" s="5">
        <v>197</v>
      </c>
      <c r="C43" s="5">
        <v>243</v>
      </c>
      <c r="D43" s="4">
        <f>(B43+C43)/2</f>
        <v>220</v>
      </c>
      <c r="E43" s="3">
        <f>D43*A43</f>
        <v>38720</v>
      </c>
      <c r="F43" s="4">
        <v>76</v>
      </c>
      <c r="G43" s="5">
        <v>89</v>
      </c>
      <c r="H43" s="5">
        <v>142</v>
      </c>
      <c r="I43" s="4">
        <f>(H43+G43)/2</f>
        <v>115.5</v>
      </c>
      <c r="J43" s="3">
        <f>I43*F43</f>
        <v>8778</v>
      </c>
      <c r="K43" s="4">
        <v>25</v>
      </c>
      <c r="L43" s="5">
        <v>34</v>
      </c>
      <c r="M43" s="5">
        <v>67</v>
      </c>
      <c r="N43" s="4">
        <f>(M43+L43)/2</f>
        <v>50.5</v>
      </c>
      <c r="O43" s="3">
        <f>N43*K43</f>
        <v>1262.5</v>
      </c>
      <c r="P43" s="2">
        <f>SUM(E43,J43,O43)</f>
        <v>48760.5</v>
      </c>
      <c r="Q43" s="2">
        <f>SUM(A43,F43,K43)</f>
        <v>277</v>
      </c>
      <c r="R43" s="1">
        <f>P43/Q43</f>
        <v>176.03068592057761</v>
      </c>
    </row>
    <row r="44" spans="1:18" x14ac:dyDescent="0.25">
      <c r="A44" s="4">
        <v>134</v>
      </c>
      <c r="B44" s="5">
        <v>167</v>
      </c>
      <c r="C44" s="5">
        <v>239</v>
      </c>
      <c r="D44" s="4">
        <f>(B44+C44)/2</f>
        <v>203</v>
      </c>
      <c r="E44" s="3">
        <f>D44*A44</f>
        <v>27202</v>
      </c>
      <c r="F44" s="4">
        <v>58</v>
      </c>
      <c r="G44" s="6">
        <v>104</v>
      </c>
      <c r="H44" s="5">
        <v>165</v>
      </c>
      <c r="I44" s="4">
        <f>(H44+G44)/2</f>
        <v>134.5</v>
      </c>
      <c r="J44" s="3">
        <f>I44*F44</f>
        <v>7801</v>
      </c>
      <c r="K44" s="4">
        <v>36</v>
      </c>
      <c r="L44" s="5">
        <v>32</v>
      </c>
      <c r="M44" s="5">
        <v>80</v>
      </c>
      <c r="N44" s="4">
        <f>(M44+L44)/2</f>
        <v>56</v>
      </c>
      <c r="O44" s="3">
        <f>N44*K44</f>
        <v>2016</v>
      </c>
      <c r="P44" s="2">
        <f>SUM(E44,J44,O44)</f>
        <v>37019</v>
      </c>
      <c r="Q44" s="2">
        <f>SUM(A44,F44,K44)</f>
        <v>228</v>
      </c>
      <c r="R44" s="1">
        <f>P44/Q44</f>
        <v>162.36403508771929</v>
      </c>
    </row>
    <row r="45" spans="1:18" x14ac:dyDescent="0.25">
      <c r="A45" s="4">
        <v>108</v>
      </c>
      <c r="B45" s="5">
        <v>154</v>
      </c>
      <c r="C45" s="5">
        <v>212</v>
      </c>
      <c r="D45" s="4">
        <f>(B45+C45)/2</f>
        <v>183</v>
      </c>
      <c r="E45" s="3">
        <f>D45*A45</f>
        <v>19764</v>
      </c>
      <c r="F45" s="4">
        <v>64</v>
      </c>
      <c r="G45" s="5">
        <v>108</v>
      </c>
      <c r="H45" s="5">
        <v>169</v>
      </c>
      <c r="I45" s="4">
        <f>(H45+G45)/2</f>
        <v>138.5</v>
      </c>
      <c r="J45" s="3">
        <f>I45*F45</f>
        <v>8864</v>
      </c>
      <c r="K45" s="4">
        <v>39</v>
      </c>
      <c r="L45" s="5">
        <v>45</v>
      </c>
      <c r="M45" s="5">
        <v>94</v>
      </c>
      <c r="N45" s="4">
        <f>(M45+L45)/2</f>
        <v>69.5</v>
      </c>
      <c r="O45" s="3">
        <f>N45*K45</f>
        <v>2710.5</v>
      </c>
      <c r="P45" s="2">
        <f>SUM(E45,J45,O45)</f>
        <v>31338.5</v>
      </c>
      <c r="Q45" s="2">
        <f>SUM(A45,F45,K45)</f>
        <v>211</v>
      </c>
      <c r="R45" s="1">
        <f>P45/Q45</f>
        <v>148.52369668246445</v>
      </c>
    </row>
    <row r="46" spans="1:18" x14ac:dyDescent="0.25">
      <c r="A46" s="4">
        <v>96</v>
      </c>
      <c r="B46" s="5">
        <v>208</v>
      </c>
      <c r="C46" s="5">
        <v>235</v>
      </c>
      <c r="D46" s="4">
        <f>(B46+C46)/2</f>
        <v>221.5</v>
      </c>
      <c r="E46" s="3">
        <f>D46*A46</f>
        <v>21264</v>
      </c>
      <c r="F46" s="4">
        <v>58</v>
      </c>
      <c r="G46" s="5">
        <v>89</v>
      </c>
      <c r="H46" s="5">
        <v>176</v>
      </c>
      <c r="I46" s="4">
        <f>(H46+G46)/2</f>
        <v>132.5</v>
      </c>
      <c r="J46" s="3">
        <f>I46*F46</f>
        <v>7685</v>
      </c>
      <c r="K46" s="4">
        <v>51</v>
      </c>
      <c r="L46" s="5">
        <v>29</v>
      </c>
      <c r="M46" s="5">
        <v>85</v>
      </c>
      <c r="N46" s="4">
        <f>(M46+L46)/2</f>
        <v>57</v>
      </c>
      <c r="O46" s="3">
        <f>N46*K46</f>
        <v>2907</v>
      </c>
      <c r="P46" s="2">
        <f>SUM(E46,J46,O46)</f>
        <v>31856</v>
      </c>
      <c r="Q46" s="2">
        <f>SUM(A46,F46,K46)</f>
        <v>205</v>
      </c>
      <c r="R46" s="1">
        <f>P46/Q46</f>
        <v>155.39512195121952</v>
      </c>
    </row>
    <row r="47" spans="1:18" x14ac:dyDescent="0.25">
      <c r="A47" s="4">
        <v>86</v>
      </c>
      <c r="B47" s="5">
        <v>213</v>
      </c>
      <c r="C47" s="5">
        <v>225</v>
      </c>
      <c r="D47" s="4">
        <f>(B47+C47)/2</f>
        <v>219</v>
      </c>
      <c r="E47" s="3">
        <f>D47*A47</f>
        <v>18834</v>
      </c>
      <c r="F47" s="4">
        <v>49</v>
      </c>
      <c r="G47" s="5">
        <v>73</v>
      </c>
      <c r="H47" s="5">
        <v>189</v>
      </c>
      <c r="I47" s="4">
        <f>(H47+G47)/2</f>
        <v>131</v>
      </c>
      <c r="J47" s="3">
        <f>I47*F47</f>
        <v>6419</v>
      </c>
      <c r="K47" s="4">
        <v>46</v>
      </c>
      <c r="L47" s="5">
        <v>31</v>
      </c>
      <c r="M47" s="5">
        <v>61</v>
      </c>
      <c r="N47" s="4">
        <f>(M47+L47)/2</f>
        <v>46</v>
      </c>
      <c r="O47" s="3">
        <f>N47*K47</f>
        <v>2116</v>
      </c>
      <c r="P47" s="2">
        <f>SUM(E47,J47,O47)</f>
        <v>27369</v>
      </c>
      <c r="Q47" s="2">
        <f>SUM(A47,F47,K47)</f>
        <v>181</v>
      </c>
      <c r="R47" s="1">
        <f>P47/Q47</f>
        <v>151.20994475138122</v>
      </c>
    </row>
    <row r="48" spans="1:18" x14ac:dyDescent="0.25">
      <c r="A48" s="4">
        <v>105</v>
      </c>
      <c r="B48" s="5">
        <v>185</v>
      </c>
      <c r="C48" s="5">
        <v>254</v>
      </c>
      <c r="D48" s="4">
        <f>(B48+C48)/2</f>
        <v>219.5</v>
      </c>
      <c r="E48" s="3">
        <f>D48*A48</f>
        <v>23047.5</v>
      </c>
      <c r="F48" s="4">
        <v>57</v>
      </c>
      <c r="G48" s="5">
        <v>86</v>
      </c>
      <c r="H48" s="5">
        <v>164</v>
      </c>
      <c r="I48" s="4">
        <f>(H48+G48)/2</f>
        <v>125</v>
      </c>
      <c r="J48" s="3">
        <f>I48*F48</f>
        <v>7125</v>
      </c>
      <c r="K48" s="4">
        <v>30</v>
      </c>
      <c r="L48" s="5">
        <v>49</v>
      </c>
      <c r="M48" s="5">
        <v>79</v>
      </c>
      <c r="N48" s="4">
        <f>(M48+L48)/2</f>
        <v>64</v>
      </c>
      <c r="O48" s="3">
        <f>N48*K48</f>
        <v>1920</v>
      </c>
      <c r="P48" s="2">
        <f>SUM(E48,J48,O48)</f>
        <v>32092.5</v>
      </c>
      <c r="Q48" s="2">
        <f>SUM(A48,F48,K48)</f>
        <v>192</v>
      </c>
      <c r="R48" s="1">
        <f>P48/Q48</f>
        <v>167.1484375</v>
      </c>
    </row>
    <row r="49" spans="1:18" x14ac:dyDescent="0.25">
      <c r="A49" s="4">
        <v>99</v>
      </c>
      <c r="B49" s="5">
        <v>194</v>
      </c>
      <c r="C49" s="5">
        <v>217</v>
      </c>
      <c r="D49" s="4">
        <f>(B49+C49)/2</f>
        <v>205.5</v>
      </c>
      <c r="E49" s="3">
        <f>D49*A49</f>
        <v>20344.5</v>
      </c>
      <c r="F49" s="4">
        <v>51</v>
      </c>
      <c r="G49" s="5">
        <v>94</v>
      </c>
      <c r="H49" s="5">
        <v>171</v>
      </c>
      <c r="I49" s="4">
        <f>(H49+G49)/2</f>
        <v>132.5</v>
      </c>
      <c r="J49" s="3">
        <f>I49*F49</f>
        <v>6757.5</v>
      </c>
      <c r="K49" s="4">
        <v>51</v>
      </c>
      <c r="L49" s="5">
        <v>51</v>
      </c>
      <c r="M49" s="5">
        <v>83</v>
      </c>
      <c r="N49" s="4">
        <f>(M49+L49)/2</f>
        <v>67</v>
      </c>
      <c r="O49" s="3">
        <f>N49*K49</f>
        <v>3417</v>
      </c>
      <c r="P49" s="2">
        <f>SUM(E49,J49,O49)</f>
        <v>30519</v>
      </c>
      <c r="Q49" s="2">
        <f>SUM(A49,F49,K49)</f>
        <v>201</v>
      </c>
      <c r="R49" s="1">
        <f>P49/Q49</f>
        <v>151.83582089552237</v>
      </c>
    </row>
    <row r="50" spans="1:18" x14ac:dyDescent="0.25">
      <c r="A50" s="20">
        <v>169</v>
      </c>
      <c r="B50" s="21">
        <v>205</v>
      </c>
      <c r="C50" s="21">
        <v>250</v>
      </c>
      <c r="D50" s="20">
        <f>(B50+C50)/2</f>
        <v>227.5</v>
      </c>
      <c r="E50" s="19">
        <f>D50*A50</f>
        <v>38447.5</v>
      </c>
      <c r="F50" s="20">
        <v>54</v>
      </c>
      <c r="G50" s="21">
        <v>135</v>
      </c>
      <c r="H50" s="21">
        <v>185</v>
      </c>
      <c r="I50" s="20">
        <f>(H50+G50)/2</f>
        <v>160</v>
      </c>
      <c r="J50" s="19">
        <f>I50*F50</f>
        <v>8640</v>
      </c>
      <c r="K50" s="20">
        <v>42</v>
      </c>
      <c r="L50" s="21">
        <v>45</v>
      </c>
      <c r="M50" s="21">
        <v>89</v>
      </c>
      <c r="N50" s="20">
        <f>(M50+L50)/2</f>
        <v>67</v>
      </c>
      <c r="O50" s="19">
        <f>N50*K50</f>
        <v>2814</v>
      </c>
      <c r="P50" s="18">
        <f>SUM(E50,J50,O50)</f>
        <v>49901.5</v>
      </c>
      <c r="Q50" s="18">
        <f>SUM(A50,F50,K50)</f>
        <v>265</v>
      </c>
      <c r="R50" s="17">
        <f>P50/Q50</f>
        <v>188.30754716981133</v>
      </c>
    </row>
    <row r="51" spans="1:18" x14ac:dyDescent="0.25">
      <c r="A51" s="4">
        <v>105</v>
      </c>
      <c r="B51" s="5">
        <v>214</v>
      </c>
      <c r="C51" s="5">
        <v>265</v>
      </c>
      <c r="D51" s="4">
        <f>(B51+C51)/2</f>
        <v>239.5</v>
      </c>
      <c r="E51" s="3">
        <f>D51*A51</f>
        <v>25147.5</v>
      </c>
      <c r="F51" s="4">
        <v>63</v>
      </c>
      <c r="G51" s="5">
        <v>114</v>
      </c>
      <c r="H51" s="5">
        <v>186</v>
      </c>
      <c r="I51" s="4">
        <f>(H51+G51)/2</f>
        <v>150</v>
      </c>
      <c r="J51" s="3">
        <f>I51*F51</f>
        <v>9450</v>
      </c>
      <c r="K51" s="4">
        <v>47</v>
      </c>
      <c r="L51" s="5">
        <v>37</v>
      </c>
      <c r="M51" s="5">
        <v>96</v>
      </c>
      <c r="N51" s="4">
        <f>(M51+L51)/2</f>
        <v>66.5</v>
      </c>
      <c r="O51" s="3">
        <f>N51*K51</f>
        <v>3125.5</v>
      </c>
      <c r="P51" s="2">
        <f>SUM(E51,J51,O51)</f>
        <v>37723</v>
      </c>
      <c r="Q51" s="2">
        <f>SUM(A51,F51,K51)</f>
        <v>215</v>
      </c>
      <c r="R51" s="1">
        <f>P51/Q51</f>
        <v>175.45581395348836</v>
      </c>
    </row>
    <row r="52" spans="1:18" x14ac:dyDescent="0.25">
      <c r="A52" s="4">
        <v>87</v>
      </c>
      <c r="B52" s="5">
        <v>186</v>
      </c>
      <c r="C52" s="5">
        <v>245</v>
      </c>
      <c r="D52" s="4">
        <f>(B52+C52)/2</f>
        <v>215.5</v>
      </c>
      <c r="E52" s="3">
        <f>D52*A52</f>
        <v>18748.5</v>
      </c>
      <c r="F52" s="4">
        <v>60</v>
      </c>
      <c r="G52" s="5">
        <v>95</v>
      </c>
      <c r="H52" s="5">
        <v>145</v>
      </c>
      <c r="I52" s="4">
        <f>(H52+G52)/2</f>
        <v>120</v>
      </c>
      <c r="J52" s="3">
        <f>I52*F52</f>
        <v>7200</v>
      </c>
      <c r="K52" s="4">
        <v>29</v>
      </c>
      <c r="L52" s="5">
        <v>25</v>
      </c>
      <c r="M52" s="5">
        <v>73</v>
      </c>
      <c r="N52" s="4">
        <f>(M52+L52)/2</f>
        <v>49</v>
      </c>
      <c r="O52" s="3">
        <f>N52*K52</f>
        <v>1421</v>
      </c>
      <c r="P52" s="2">
        <f>SUM(E52,J52,O52)</f>
        <v>27369.5</v>
      </c>
      <c r="Q52" s="2">
        <f>SUM(A52,F52,K52)</f>
        <v>176</v>
      </c>
      <c r="R52" s="1">
        <f>P52/Q52</f>
        <v>155.50852272727272</v>
      </c>
    </row>
    <row r="53" spans="1:18" x14ac:dyDescent="0.25">
      <c r="A53" s="4">
        <v>113</v>
      </c>
      <c r="B53" s="5">
        <v>156</v>
      </c>
      <c r="C53" s="5">
        <v>199</v>
      </c>
      <c r="D53" s="4">
        <f>(B53+C53)/2</f>
        <v>177.5</v>
      </c>
      <c r="E53" s="3">
        <f>D53*A53</f>
        <v>20057.5</v>
      </c>
      <c r="F53" s="4">
        <v>53</v>
      </c>
      <c r="G53" s="5">
        <v>88</v>
      </c>
      <c r="H53" s="5">
        <v>139</v>
      </c>
      <c r="I53" s="4">
        <f>(H53+G53)/2</f>
        <v>113.5</v>
      </c>
      <c r="J53" s="3">
        <f>I53*F53</f>
        <v>6015.5</v>
      </c>
      <c r="K53" s="4">
        <v>26</v>
      </c>
      <c r="L53" s="5">
        <v>39</v>
      </c>
      <c r="M53" s="5">
        <v>65</v>
      </c>
      <c r="N53" s="4">
        <f>(M53+L53)/2</f>
        <v>52</v>
      </c>
      <c r="O53" s="3">
        <f>N53*K53</f>
        <v>1352</v>
      </c>
      <c r="P53" s="2">
        <f>SUM(E53,J53,O53)</f>
        <v>27425</v>
      </c>
      <c r="Q53" s="2">
        <f>SUM(A53,F53,K53)</f>
        <v>192</v>
      </c>
      <c r="R53" s="1">
        <f>P53/Q53</f>
        <v>142.83854166666666</v>
      </c>
    </row>
    <row r="54" spans="1:18" x14ac:dyDescent="0.25">
      <c r="A54" s="4">
        <v>79</v>
      </c>
      <c r="B54" s="5">
        <v>173</v>
      </c>
      <c r="C54" s="5">
        <v>286</v>
      </c>
      <c r="D54" s="4">
        <f>(B54+C54)/2</f>
        <v>229.5</v>
      </c>
      <c r="E54" s="3">
        <f>D54*A54</f>
        <v>18130.5</v>
      </c>
      <c r="F54" s="4">
        <v>61</v>
      </c>
      <c r="G54" s="5">
        <v>102</v>
      </c>
      <c r="H54" s="5">
        <v>150</v>
      </c>
      <c r="I54" s="4">
        <f>(H54+G54)/2</f>
        <v>126</v>
      </c>
      <c r="J54" s="3">
        <f>I54*F54</f>
        <v>7686</v>
      </c>
      <c r="K54" s="4">
        <v>53</v>
      </c>
      <c r="L54" s="5">
        <v>52</v>
      </c>
      <c r="M54" s="5">
        <v>79</v>
      </c>
      <c r="N54" s="4">
        <f>(M54+L54)/2</f>
        <v>65.5</v>
      </c>
      <c r="O54" s="3">
        <f>N54*K54</f>
        <v>3471.5</v>
      </c>
      <c r="P54" s="2">
        <f>SUM(E54,J54,O54)</f>
        <v>29288</v>
      </c>
      <c r="Q54" s="2">
        <f>SUM(A54,F54,K54)</f>
        <v>193</v>
      </c>
      <c r="R54" s="1">
        <f>P54/Q54</f>
        <v>151.75129533678756</v>
      </c>
    </row>
    <row r="55" spans="1:18" x14ac:dyDescent="0.25">
      <c r="A55" s="4">
        <v>98</v>
      </c>
      <c r="B55" s="5">
        <v>195</v>
      </c>
      <c r="C55" s="5">
        <v>251</v>
      </c>
      <c r="D55" s="4">
        <f>(B55+C55)/2</f>
        <v>223</v>
      </c>
      <c r="E55" s="3">
        <f>D55*A55</f>
        <v>21854</v>
      </c>
      <c r="F55" s="4">
        <v>29</v>
      </c>
      <c r="G55" s="5">
        <v>97</v>
      </c>
      <c r="H55" s="5">
        <v>165</v>
      </c>
      <c r="I55" s="4">
        <f>(H55+G55)/2</f>
        <v>131</v>
      </c>
      <c r="J55" s="3">
        <f>I55*F55</f>
        <v>3799</v>
      </c>
      <c r="K55" s="4">
        <v>48</v>
      </c>
      <c r="L55" s="5">
        <v>32</v>
      </c>
      <c r="M55" s="5">
        <v>81</v>
      </c>
      <c r="N55" s="4">
        <f>(M55+L55)/2</f>
        <v>56.5</v>
      </c>
      <c r="O55" s="3">
        <f>N55*K55</f>
        <v>2712</v>
      </c>
      <c r="P55" s="2">
        <f>SUM(E55,J55,O55)</f>
        <v>28365</v>
      </c>
      <c r="Q55" s="2">
        <f>SUM(A55,F55,K55)</f>
        <v>175</v>
      </c>
      <c r="R55" s="1">
        <f>P55/Q55</f>
        <v>162.08571428571429</v>
      </c>
    </row>
    <row r="56" spans="1:18" x14ac:dyDescent="0.25">
      <c r="A56" s="4">
        <v>101</v>
      </c>
      <c r="B56" s="5">
        <v>177</v>
      </c>
      <c r="C56" s="5">
        <v>238</v>
      </c>
      <c r="D56" s="4">
        <f>(B56+C56)/2</f>
        <v>207.5</v>
      </c>
      <c r="E56" s="3">
        <f>D56*A56</f>
        <v>20957.5</v>
      </c>
      <c r="F56" s="4">
        <v>61</v>
      </c>
      <c r="G56" s="5">
        <v>85</v>
      </c>
      <c r="H56" s="5">
        <v>141</v>
      </c>
      <c r="I56" s="4">
        <f>(H56+G56)/2</f>
        <v>113</v>
      </c>
      <c r="J56" s="3">
        <f>I56*F56</f>
        <v>6893</v>
      </c>
      <c r="K56" s="4">
        <v>29</v>
      </c>
      <c r="L56" s="5">
        <v>39</v>
      </c>
      <c r="M56" s="5">
        <v>64</v>
      </c>
      <c r="N56" s="4">
        <f>(M56+L56)/2</f>
        <v>51.5</v>
      </c>
      <c r="O56" s="3">
        <f>N56*K56</f>
        <v>1493.5</v>
      </c>
      <c r="P56" s="2">
        <f>SUM(E56,J56,O56)</f>
        <v>29344</v>
      </c>
      <c r="Q56" s="2">
        <f>SUM(A56,F56,K56)</f>
        <v>191</v>
      </c>
      <c r="R56" s="1">
        <f>P56/Q56</f>
        <v>153.63350785340313</v>
      </c>
    </row>
    <row r="57" spans="1:18" x14ac:dyDescent="0.25">
      <c r="A57" s="4">
        <v>128</v>
      </c>
      <c r="B57" s="5">
        <v>153</v>
      </c>
      <c r="C57" s="5">
        <v>198</v>
      </c>
      <c r="D57" s="4">
        <f>(B57+C57)/2</f>
        <v>175.5</v>
      </c>
      <c r="E57" s="3">
        <f>D57*A57</f>
        <v>22464</v>
      </c>
      <c r="F57" s="4">
        <v>49</v>
      </c>
      <c r="G57" s="5">
        <v>79</v>
      </c>
      <c r="H57" s="5">
        <v>139</v>
      </c>
      <c r="I57" s="4">
        <f>(H57+G57)/2</f>
        <v>109</v>
      </c>
      <c r="J57" s="3">
        <f>I57*F57</f>
        <v>5341</v>
      </c>
      <c r="K57" s="4">
        <v>37</v>
      </c>
      <c r="L57" s="5">
        <v>46</v>
      </c>
      <c r="M57" s="5">
        <v>80</v>
      </c>
      <c r="N57" s="4">
        <f>(M57+L57)/2</f>
        <v>63</v>
      </c>
      <c r="O57" s="3">
        <f>N57*K57</f>
        <v>2331</v>
      </c>
      <c r="P57" s="2">
        <f>SUM(E57,J57,O57)</f>
        <v>30136</v>
      </c>
      <c r="Q57" s="2">
        <f>SUM(A57,F57,K57)</f>
        <v>214</v>
      </c>
      <c r="R57" s="1">
        <f>P57/Q57</f>
        <v>140.82242990654206</v>
      </c>
    </row>
    <row r="59" spans="1:18" x14ac:dyDescent="0.25">
      <c r="A59" s="16" t="s">
        <v>22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</row>
    <row r="60" spans="1:18" x14ac:dyDescent="0.25">
      <c r="A60" s="14" t="s">
        <v>21</v>
      </c>
      <c r="B60" s="14"/>
      <c r="C60" s="14"/>
      <c r="D60" s="14"/>
      <c r="E60" s="13"/>
      <c r="F60" s="14" t="s">
        <v>20</v>
      </c>
      <c r="G60" s="14"/>
      <c r="H60" s="14"/>
      <c r="I60" s="14"/>
      <c r="J60" s="13"/>
      <c r="K60" s="14" t="s">
        <v>19</v>
      </c>
      <c r="L60" s="14"/>
      <c r="M60" s="14"/>
      <c r="N60" s="14"/>
      <c r="O60" s="13"/>
      <c r="P60" s="12" t="s">
        <v>18</v>
      </c>
      <c r="Q60" s="12"/>
      <c r="R60" s="12"/>
    </row>
    <row r="61" spans="1:18" x14ac:dyDescent="0.25">
      <c r="A61" s="10" t="s">
        <v>17</v>
      </c>
      <c r="B61" s="11" t="s">
        <v>16</v>
      </c>
      <c r="C61" s="11" t="s">
        <v>15</v>
      </c>
      <c r="D61" s="10" t="s">
        <v>14</v>
      </c>
      <c r="E61" s="9" t="s">
        <v>13</v>
      </c>
      <c r="F61" s="10" t="s">
        <v>12</v>
      </c>
      <c r="G61" s="11" t="s">
        <v>11</v>
      </c>
      <c r="H61" s="11" t="s">
        <v>10</v>
      </c>
      <c r="I61" s="10" t="s">
        <v>9</v>
      </c>
      <c r="J61" s="9" t="s">
        <v>8</v>
      </c>
      <c r="K61" s="10" t="s">
        <v>7</v>
      </c>
      <c r="L61" s="11" t="s">
        <v>6</v>
      </c>
      <c r="M61" s="11" t="s">
        <v>5</v>
      </c>
      <c r="N61" s="10" t="s">
        <v>4</v>
      </c>
      <c r="O61" s="9" t="s">
        <v>3</v>
      </c>
      <c r="P61" s="8" t="s">
        <v>2</v>
      </c>
      <c r="Q61" s="8" t="s">
        <v>1</v>
      </c>
      <c r="R61" s="7" t="s">
        <v>0</v>
      </c>
    </row>
    <row r="62" spans="1:18" x14ac:dyDescent="0.25">
      <c r="A62" s="10">
        <v>8</v>
      </c>
      <c r="B62" s="11">
        <v>46</v>
      </c>
      <c r="C62" s="11">
        <v>54</v>
      </c>
      <c r="D62" s="10">
        <f>(B62+C62)/2</f>
        <v>50</v>
      </c>
      <c r="E62" s="9">
        <f>D62*A62</f>
        <v>400</v>
      </c>
      <c r="F62" s="10">
        <v>3</v>
      </c>
      <c r="G62" s="11">
        <v>56</v>
      </c>
      <c r="H62" s="11">
        <v>73</v>
      </c>
      <c r="I62" s="10">
        <f>(G62+H62)/2</f>
        <v>64.5</v>
      </c>
      <c r="J62" s="9">
        <f>I62*F62</f>
        <v>193.5</v>
      </c>
      <c r="K62" s="10">
        <v>8</v>
      </c>
      <c r="L62" s="11">
        <v>78</v>
      </c>
      <c r="M62" s="11">
        <v>89</v>
      </c>
      <c r="N62" s="10">
        <f>(L62+M62)/2</f>
        <v>83.5</v>
      </c>
      <c r="O62" s="9">
        <f>N62*K62</f>
        <v>668</v>
      </c>
      <c r="P62" s="8">
        <v>48760.5</v>
      </c>
      <c r="Q62" s="8">
        <v>277</v>
      </c>
      <c r="R62" s="7">
        <v>176.03068592057801</v>
      </c>
    </row>
    <row r="63" spans="1:18" x14ac:dyDescent="0.25">
      <c r="A63" s="4">
        <v>18</v>
      </c>
      <c r="B63" s="5">
        <v>47</v>
      </c>
      <c r="C63" s="5">
        <v>52</v>
      </c>
      <c r="D63" s="4">
        <f>(B63+C63)/2</f>
        <v>49.5</v>
      </c>
      <c r="E63" s="3">
        <f>D63*A63</f>
        <v>891</v>
      </c>
      <c r="F63" s="4">
        <v>54</v>
      </c>
      <c r="G63" s="5">
        <v>62</v>
      </c>
      <c r="H63" s="5">
        <v>74</v>
      </c>
      <c r="I63" s="4">
        <f>(G63+H63)/2</f>
        <v>68</v>
      </c>
      <c r="J63" s="3">
        <f>I63*F63</f>
        <v>3672</v>
      </c>
      <c r="K63" s="4">
        <v>24</v>
      </c>
      <c r="L63" s="5">
        <v>78</v>
      </c>
      <c r="M63" s="5">
        <v>88</v>
      </c>
      <c r="N63" s="4">
        <f>(L63+M63)/2</f>
        <v>83</v>
      </c>
      <c r="O63" s="3">
        <f>N63*K63</f>
        <v>1992</v>
      </c>
      <c r="P63" s="2">
        <v>37019</v>
      </c>
      <c r="Q63" s="2">
        <v>228</v>
      </c>
      <c r="R63" s="1">
        <v>162.364035087719</v>
      </c>
    </row>
    <row r="64" spans="1:18" x14ac:dyDescent="0.25">
      <c r="A64" s="4">
        <v>9</v>
      </c>
      <c r="B64" s="5">
        <v>47</v>
      </c>
      <c r="C64" s="5">
        <v>53</v>
      </c>
      <c r="D64" s="4">
        <f>(B64+C64)/2</f>
        <v>50</v>
      </c>
      <c r="E64" s="3">
        <f>D64*A64</f>
        <v>450</v>
      </c>
      <c r="F64" s="4">
        <v>30</v>
      </c>
      <c r="G64" s="5">
        <v>58</v>
      </c>
      <c r="H64" s="5">
        <v>74</v>
      </c>
      <c r="I64" s="4">
        <f>(G64+H64)/2</f>
        <v>66</v>
      </c>
      <c r="J64" s="3">
        <f>I64*F64</f>
        <v>1980</v>
      </c>
      <c r="K64" s="4">
        <v>8</v>
      </c>
      <c r="L64" s="5">
        <v>76</v>
      </c>
      <c r="M64" s="5">
        <v>85</v>
      </c>
      <c r="N64" s="4">
        <f>(L64+M64)/2</f>
        <v>80.5</v>
      </c>
      <c r="O64" s="3">
        <f>N64*K64</f>
        <v>644</v>
      </c>
      <c r="P64" s="2">
        <v>31338.5</v>
      </c>
      <c r="Q64" s="2">
        <v>211</v>
      </c>
      <c r="R64" s="1">
        <v>148.52369668246399</v>
      </c>
    </row>
    <row r="65" spans="1:18" x14ac:dyDescent="0.25">
      <c r="A65" s="10">
        <v>14</v>
      </c>
      <c r="B65" s="11">
        <v>46</v>
      </c>
      <c r="C65" s="11">
        <v>54</v>
      </c>
      <c r="D65" s="10">
        <f>(B65+C65)/2</f>
        <v>50</v>
      </c>
      <c r="E65" s="9">
        <f>D65*A65</f>
        <v>700</v>
      </c>
      <c r="F65" s="10">
        <v>20</v>
      </c>
      <c r="G65" s="11">
        <v>60</v>
      </c>
      <c r="H65" s="11">
        <v>73</v>
      </c>
      <c r="I65" s="10">
        <f>(G65+H65)/2</f>
        <v>66.5</v>
      </c>
      <c r="J65" s="9">
        <f>I65*F65</f>
        <v>1330</v>
      </c>
      <c r="K65" s="10">
        <v>6</v>
      </c>
      <c r="L65" s="11">
        <v>77</v>
      </c>
      <c r="M65" s="11">
        <v>89</v>
      </c>
      <c r="N65" s="10">
        <f>(L65+M65)/2</f>
        <v>83</v>
      </c>
      <c r="O65" s="9">
        <f>N65*K65</f>
        <v>498</v>
      </c>
      <c r="P65" s="8">
        <v>31856</v>
      </c>
      <c r="Q65" s="8">
        <v>205</v>
      </c>
      <c r="R65" s="7">
        <v>155.39512195122001</v>
      </c>
    </row>
    <row r="66" spans="1:18" x14ac:dyDescent="0.25">
      <c r="A66" s="4">
        <v>8</v>
      </c>
      <c r="B66" s="5">
        <v>47</v>
      </c>
      <c r="C66" s="5">
        <v>53</v>
      </c>
      <c r="D66" s="4">
        <f>(B66+C66)/2</f>
        <v>50</v>
      </c>
      <c r="E66" s="3">
        <f>D66*A66</f>
        <v>400</v>
      </c>
      <c r="F66" s="4">
        <v>4</v>
      </c>
      <c r="G66" s="5">
        <v>59</v>
      </c>
      <c r="H66" s="5">
        <v>74</v>
      </c>
      <c r="I66" s="4">
        <f>(G66+H66)/2</f>
        <v>66.5</v>
      </c>
      <c r="J66" s="3">
        <f>I66*F66</f>
        <v>266</v>
      </c>
      <c r="K66" s="4">
        <v>20</v>
      </c>
      <c r="L66" s="5">
        <v>79</v>
      </c>
      <c r="M66" s="5">
        <v>90</v>
      </c>
      <c r="N66" s="4">
        <f>(L66+M66)/2</f>
        <v>84.5</v>
      </c>
      <c r="O66" s="3">
        <f>N66*K66</f>
        <v>1690</v>
      </c>
      <c r="P66" s="2">
        <v>27369</v>
      </c>
      <c r="Q66" s="2">
        <v>181</v>
      </c>
      <c r="R66" s="1">
        <v>151.20994475138099</v>
      </c>
    </row>
    <row r="67" spans="1:18" x14ac:dyDescent="0.25">
      <c r="A67" s="4">
        <v>12</v>
      </c>
      <c r="B67" s="5">
        <v>46</v>
      </c>
      <c r="C67" s="5">
        <v>53</v>
      </c>
      <c r="D67" s="4">
        <f>(B67+C67)/2</f>
        <v>49.5</v>
      </c>
      <c r="E67" s="3">
        <f>D67*A67</f>
        <v>594</v>
      </c>
      <c r="F67" s="4">
        <v>32</v>
      </c>
      <c r="G67" s="5">
        <v>58</v>
      </c>
      <c r="H67" s="5">
        <v>74</v>
      </c>
      <c r="I67" s="4">
        <f>(G67+H67)/2</f>
        <v>66</v>
      </c>
      <c r="J67" s="3">
        <f>I67*F67</f>
        <v>2112</v>
      </c>
      <c r="K67" s="4">
        <v>11</v>
      </c>
      <c r="L67" s="5">
        <v>79</v>
      </c>
      <c r="M67" s="5">
        <v>94</v>
      </c>
      <c r="N67" s="4">
        <f>(L67+M67)/2</f>
        <v>86.5</v>
      </c>
      <c r="O67" s="3">
        <f>N67*K67</f>
        <v>951.5</v>
      </c>
      <c r="P67" s="2">
        <v>32092.5</v>
      </c>
      <c r="Q67" s="2">
        <v>192</v>
      </c>
      <c r="R67" s="1">
        <v>167.1484375</v>
      </c>
    </row>
    <row r="68" spans="1:18" x14ac:dyDescent="0.25">
      <c r="A68" s="4">
        <v>15</v>
      </c>
      <c r="B68" s="5">
        <v>48</v>
      </c>
      <c r="C68" s="5">
        <v>52</v>
      </c>
      <c r="D68" s="4">
        <f>(B68+C68)/2</f>
        <v>50</v>
      </c>
      <c r="E68" s="3">
        <f>D68*A68</f>
        <v>750</v>
      </c>
      <c r="F68" s="4">
        <v>50</v>
      </c>
      <c r="G68" s="5">
        <v>57</v>
      </c>
      <c r="H68" s="5">
        <v>71</v>
      </c>
      <c r="I68" s="4">
        <f>(G68+H68)/2</f>
        <v>64</v>
      </c>
      <c r="J68" s="3">
        <f>I68*F68</f>
        <v>3200</v>
      </c>
      <c r="K68" s="4">
        <v>6</v>
      </c>
      <c r="L68" s="5">
        <v>85</v>
      </c>
      <c r="M68" s="5">
        <v>89</v>
      </c>
      <c r="N68" s="4">
        <f>(L68+M68)/2</f>
        <v>87</v>
      </c>
      <c r="O68" s="3">
        <f>N68*K68</f>
        <v>522</v>
      </c>
      <c r="P68" s="2">
        <v>30519</v>
      </c>
      <c r="Q68" s="2">
        <v>201</v>
      </c>
      <c r="R68" s="1">
        <v>151.83582089552201</v>
      </c>
    </row>
    <row r="69" spans="1:18" x14ac:dyDescent="0.25">
      <c r="A69" s="4">
        <v>7</v>
      </c>
      <c r="B69" s="5">
        <v>47</v>
      </c>
      <c r="C69" s="5">
        <v>53</v>
      </c>
      <c r="D69" s="4">
        <f>(B69+C69)/2</f>
        <v>50</v>
      </c>
      <c r="E69" s="3">
        <f>D69*A69</f>
        <v>350</v>
      </c>
      <c r="F69" s="4">
        <v>3</v>
      </c>
      <c r="G69" s="5">
        <v>60</v>
      </c>
      <c r="H69" s="5">
        <v>73</v>
      </c>
      <c r="I69" s="4">
        <f>(G69+H69)/2</f>
        <v>66.5</v>
      </c>
      <c r="J69" s="3">
        <f>I69*F69</f>
        <v>199.5</v>
      </c>
      <c r="K69" s="4">
        <v>18</v>
      </c>
      <c r="L69" s="5">
        <v>78</v>
      </c>
      <c r="M69" s="5">
        <v>90</v>
      </c>
      <c r="N69" s="4">
        <f>(L69+M69)/2</f>
        <v>84</v>
      </c>
      <c r="O69" s="3">
        <f>N69*K69</f>
        <v>1512</v>
      </c>
      <c r="P69" s="2">
        <v>49901.5</v>
      </c>
      <c r="Q69" s="2">
        <v>265</v>
      </c>
      <c r="R69" s="1">
        <v>188.30754716981099</v>
      </c>
    </row>
    <row r="70" spans="1:18" x14ac:dyDescent="0.25">
      <c r="A70" s="4">
        <v>8</v>
      </c>
      <c r="B70" s="5">
        <v>48</v>
      </c>
      <c r="C70" s="5">
        <v>55</v>
      </c>
      <c r="D70" s="4">
        <f>(B70+C70)/2</f>
        <v>51.5</v>
      </c>
      <c r="E70" s="3">
        <f>D70*A70</f>
        <v>412</v>
      </c>
      <c r="F70" s="4">
        <v>6</v>
      </c>
      <c r="G70" s="5">
        <v>63</v>
      </c>
      <c r="H70" s="5">
        <v>72</v>
      </c>
      <c r="I70" s="4">
        <f>(G70+H70)/2</f>
        <v>67.5</v>
      </c>
      <c r="J70" s="3">
        <f>I70*F70</f>
        <v>405</v>
      </c>
      <c r="K70" s="4">
        <v>9</v>
      </c>
      <c r="L70" s="5">
        <v>88</v>
      </c>
      <c r="M70" s="5">
        <v>92</v>
      </c>
      <c r="N70" s="4">
        <f>(L70+M70)/2</f>
        <v>90</v>
      </c>
      <c r="O70" s="3">
        <f>N70*K70</f>
        <v>810</v>
      </c>
      <c r="P70" s="2">
        <v>37723</v>
      </c>
      <c r="Q70" s="2">
        <v>215</v>
      </c>
      <c r="R70" s="1">
        <v>175.45581395348799</v>
      </c>
    </row>
    <row r="71" spans="1:18" x14ac:dyDescent="0.25">
      <c r="A71" s="4">
        <v>14</v>
      </c>
      <c r="B71" s="5">
        <v>46</v>
      </c>
      <c r="C71" s="5">
        <v>54</v>
      </c>
      <c r="D71" s="4">
        <f>(B71+C71)/2</f>
        <v>50</v>
      </c>
      <c r="E71" s="3">
        <f>D71*A71</f>
        <v>700</v>
      </c>
      <c r="F71" s="4">
        <v>4</v>
      </c>
      <c r="G71" s="5">
        <v>58</v>
      </c>
      <c r="H71" s="5">
        <v>74</v>
      </c>
      <c r="I71" s="4">
        <f>(G71+H71)/2</f>
        <v>66</v>
      </c>
      <c r="J71" s="3">
        <f>I71*F71</f>
        <v>264</v>
      </c>
      <c r="K71" s="4">
        <v>7</v>
      </c>
      <c r="L71" s="5">
        <v>93</v>
      </c>
      <c r="M71" s="5">
        <v>94</v>
      </c>
      <c r="N71" s="4">
        <f>(L71+M71)/2</f>
        <v>93.5</v>
      </c>
      <c r="O71" s="3">
        <f>N71*K71</f>
        <v>654.5</v>
      </c>
      <c r="P71" s="2">
        <v>27369.5</v>
      </c>
      <c r="Q71" s="2">
        <v>176</v>
      </c>
      <c r="R71" s="1">
        <v>155.508522727273</v>
      </c>
    </row>
    <row r="72" spans="1:18" x14ac:dyDescent="0.25">
      <c r="A72" s="4">
        <v>24</v>
      </c>
      <c r="B72" s="5">
        <v>48</v>
      </c>
      <c r="C72" s="5">
        <v>53</v>
      </c>
      <c r="D72" s="4">
        <f>(B72+C72)/2</f>
        <v>50.5</v>
      </c>
      <c r="E72" s="3">
        <f>D72*A72</f>
        <v>1212</v>
      </c>
      <c r="F72" s="4">
        <v>9</v>
      </c>
      <c r="G72" s="5">
        <v>57</v>
      </c>
      <c r="H72" s="5">
        <v>74</v>
      </c>
      <c r="I72" s="4">
        <f>(G72+H72)/2</f>
        <v>65.5</v>
      </c>
      <c r="J72" s="3">
        <f>I72*F72</f>
        <v>589.5</v>
      </c>
      <c r="K72" s="4">
        <v>7</v>
      </c>
      <c r="L72" s="5">
        <v>77</v>
      </c>
      <c r="M72" s="5">
        <v>93</v>
      </c>
      <c r="N72" s="4">
        <f>(L72+M72)/2</f>
        <v>85</v>
      </c>
      <c r="O72" s="3">
        <f>N72*K72</f>
        <v>595</v>
      </c>
      <c r="P72" s="2">
        <v>27425</v>
      </c>
      <c r="Q72" s="2">
        <v>192</v>
      </c>
      <c r="R72" s="1">
        <v>142.838541666667</v>
      </c>
    </row>
    <row r="73" spans="1:18" x14ac:dyDescent="0.25">
      <c r="A73" s="4">
        <v>9</v>
      </c>
      <c r="B73" s="5">
        <v>46</v>
      </c>
      <c r="C73" s="5">
        <v>54</v>
      </c>
      <c r="D73" s="4">
        <f>(B73+C73)/2</f>
        <v>50</v>
      </c>
      <c r="E73" s="3">
        <f>D73*A73</f>
        <v>450</v>
      </c>
      <c r="F73" s="4">
        <v>3</v>
      </c>
      <c r="G73" s="5">
        <v>58</v>
      </c>
      <c r="H73" s="5">
        <v>72</v>
      </c>
      <c r="I73" s="4">
        <f>(G73+H73)/2</f>
        <v>65</v>
      </c>
      <c r="J73" s="3">
        <f>I73*F73</f>
        <v>195</v>
      </c>
      <c r="K73" s="4">
        <v>5</v>
      </c>
      <c r="L73" s="5">
        <v>76</v>
      </c>
      <c r="M73" s="5">
        <v>95</v>
      </c>
      <c r="N73" s="4">
        <f>(L73+M73)/2</f>
        <v>85.5</v>
      </c>
      <c r="O73" s="3">
        <f>N73*K73</f>
        <v>427.5</v>
      </c>
      <c r="P73" s="2">
        <v>29288</v>
      </c>
      <c r="Q73" s="2">
        <v>193</v>
      </c>
      <c r="R73" s="1">
        <v>151.75129533678799</v>
      </c>
    </row>
    <row r="74" spans="1:18" x14ac:dyDescent="0.25">
      <c r="A74" s="4">
        <v>6</v>
      </c>
      <c r="B74" s="5">
        <v>47</v>
      </c>
      <c r="C74" s="5">
        <v>52</v>
      </c>
      <c r="D74" s="4">
        <f>(B74+C74)/2</f>
        <v>49.5</v>
      </c>
      <c r="E74" s="3">
        <f>D74*A74</f>
        <v>297</v>
      </c>
      <c r="F74" s="4">
        <v>15</v>
      </c>
      <c r="G74" s="5">
        <v>60</v>
      </c>
      <c r="H74" s="5">
        <v>73</v>
      </c>
      <c r="I74" s="4">
        <f>(G74+H74)/2</f>
        <v>66.5</v>
      </c>
      <c r="J74" s="3">
        <f>I74*F74</f>
        <v>997.5</v>
      </c>
      <c r="K74" s="4">
        <v>7</v>
      </c>
      <c r="L74" s="5">
        <v>81</v>
      </c>
      <c r="M74" s="5">
        <v>94</v>
      </c>
      <c r="N74" s="4">
        <f>(L74+M74)/2</f>
        <v>87.5</v>
      </c>
      <c r="O74" s="3">
        <f>N74*K74</f>
        <v>612.5</v>
      </c>
      <c r="P74" s="2">
        <v>28365</v>
      </c>
      <c r="Q74" s="2">
        <v>175</v>
      </c>
      <c r="R74" s="1">
        <v>162.085714285714</v>
      </c>
    </row>
    <row r="75" spans="1:18" x14ac:dyDescent="0.25">
      <c r="A75" s="4">
        <v>10</v>
      </c>
      <c r="B75" s="6">
        <v>47</v>
      </c>
      <c r="C75" s="5">
        <v>54</v>
      </c>
      <c r="D75" s="4">
        <f>(B74+C75)/2</f>
        <v>50.5</v>
      </c>
      <c r="E75" s="3">
        <f>D75*A75</f>
        <v>505</v>
      </c>
      <c r="F75" s="4">
        <v>5</v>
      </c>
      <c r="G75" s="5">
        <v>59</v>
      </c>
      <c r="H75" s="5">
        <v>72</v>
      </c>
      <c r="I75" s="4">
        <f>(G75+H75)/2</f>
        <v>65.5</v>
      </c>
      <c r="J75" s="3">
        <f>I75*F75</f>
        <v>327.5</v>
      </c>
      <c r="K75" s="4">
        <v>11</v>
      </c>
      <c r="L75" s="5">
        <v>76</v>
      </c>
      <c r="M75" s="5">
        <v>92</v>
      </c>
      <c r="N75" s="4">
        <f>(L75+M75)/2</f>
        <v>84</v>
      </c>
      <c r="O75" s="3">
        <f>N75*K75</f>
        <v>924</v>
      </c>
      <c r="P75" s="2">
        <v>29344</v>
      </c>
      <c r="Q75" s="2">
        <v>191</v>
      </c>
      <c r="R75" s="1">
        <v>153.63350785340299</v>
      </c>
    </row>
    <row r="76" spans="1:18" x14ac:dyDescent="0.25">
      <c r="A76" s="4">
        <v>17</v>
      </c>
      <c r="B76" s="5">
        <v>48</v>
      </c>
      <c r="C76" s="5">
        <v>53</v>
      </c>
      <c r="D76" s="4">
        <f>(B76+C76)/2</f>
        <v>50.5</v>
      </c>
      <c r="E76" s="3">
        <f>D76*A76</f>
        <v>858.5</v>
      </c>
      <c r="F76" s="4">
        <v>45</v>
      </c>
      <c r="G76" s="5">
        <v>61</v>
      </c>
      <c r="H76" s="5">
        <v>73</v>
      </c>
      <c r="I76" s="4">
        <f>(G76+H76)/2</f>
        <v>67</v>
      </c>
      <c r="J76" s="3">
        <f>I76*F76</f>
        <v>3015</v>
      </c>
      <c r="K76" s="4">
        <v>6</v>
      </c>
      <c r="L76" s="5">
        <v>80</v>
      </c>
      <c r="M76" s="5">
        <v>91</v>
      </c>
      <c r="N76" s="4">
        <f>(L76+M76)/2</f>
        <v>85.5</v>
      </c>
      <c r="O76" s="3">
        <f>N76*K76</f>
        <v>513</v>
      </c>
      <c r="P76" s="2">
        <v>30136</v>
      </c>
      <c r="Q76" s="2">
        <v>214</v>
      </c>
      <c r="R76" s="1">
        <v>140.822429906542</v>
      </c>
    </row>
  </sheetData>
  <mergeCells count="20">
    <mergeCell ref="A1:R1"/>
    <mergeCell ref="A21:E21"/>
    <mergeCell ref="F21:J21"/>
    <mergeCell ref="K21:O21"/>
    <mergeCell ref="P21:R21"/>
    <mergeCell ref="A20:R20"/>
    <mergeCell ref="A2:E2"/>
    <mergeCell ref="F2:J2"/>
    <mergeCell ref="K2:O2"/>
    <mergeCell ref="P2:R2"/>
    <mergeCell ref="A60:E60"/>
    <mergeCell ref="F60:J60"/>
    <mergeCell ref="K60:O60"/>
    <mergeCell ref="P60:R60"/>
    <mergeCell ref="A40:R40"/>
    <mergeCell ref="A41:E41"/>
    <mergeCell ref="F41:J41"/>
    <mergeCell ref="K41:O41"/>
    <mergeCell ref="P41:R41"/>
    <mergeCell ref="A59:R59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B2EB3741C2EF4695B04BD1F7350325" ma:contentTypeVersion="14" ma:contentTypeDescription="Create a new document." ma:contentTypeScope="" ma:versionID="402ba54198fe416ef7063e0893b0609d">
  <xsd:schema xmlns:xsd="http://www.w3.org/2001/XMLSchema" xmlns:xs="http://www.w3.org/2001/XMLSchema" xmlns:p="http://schemas.microsoft.com/office/2006/metadata/properties" xmlns:ns3="9cc15066-1d6f-4e03-ba94-ef542d393527" targetNamespace="http://schemas.microsoft.com/office/2006/metadata/properties" ma:root="true" ma:fieldsID="a983550a8ede10fbe3088e8cf1de0b78" ns3:_="">
    <xsd:import namespace="9cc15066-1d6f-4e03-ba94-ef542d3935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c15066-1d6f-4e03-ba94-ef542d3935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cc15066-1d6f-4e03-ba94-ef542d393527" xsi:nil="true"/>
  </documentManagement>
</p:properties>
</file>

<file path=customXml/itemProps1.xml><?xml version="1.0" encoding="utf-8"?>
<ds:datastoreItem xmlns:ds="http://schemas.openxmlformats.org/officeDocument/2006/customXml" ds:itemID="{036F35FA-1C50-4718-94BD-C9B19CD25B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c15066-1d6f-4e03-ba94-ef542d3935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5C9A0E-AAAB-4983-BC00-9D0E08B305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BA4E98-D843-4289-9C05-688A7283660A}">
  <ds:schemaRefs>
    <ds:schemaRef ds:uri="http://purl.org/dc/elements/1.1/"/>
    <ds:schemaRef ds:uri="9cc15066-1d6f-4e03-ba94-ef542d393527"/>
    <ds:schemaRef ds:uri="http://www.w3.org/XML/1998/namespace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纤维脱胶前后测试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Xinyue</dc:creator>
  <cp:lastModifiedBy>ZHANG Xinyue</cp:lastModifiedBy>
  <dcterms:created xsi:type="dcterms:W3CDTF">2026-02-01T15:16:13Z</dcterms:created>
  <dcterms:modified xsi:type="dcterms:W3CDTF">2026-02-01T15:17:43Z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0x0101005CB2EB3741C2EF4695B04BD1F7350325</vt:lpwstr>
  </property>
</Properties>
</file>